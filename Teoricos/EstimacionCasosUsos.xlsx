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riterioBasadoClasesAnalisis" sheetId="1" state="visible" r:id="rId3"/>
    <sheet name="PCU-sinAjustar" sheetId="2" state="visible" r:id="rId4"/>
    <sheet name="Factores" sheetId="3" state="visible" r:id="rId5"/>
    <sheet name="PCU-Ajustado" sheetId="4" state="visible" r:id="rId6"/>
    <sheet name="RESULTADO" sheetId="5" state="visible" r:id="rId7"/>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Autor</author>
  </authors>
  <commentList>
    <comment ref="G16" authorId="0">
      <text>
        <r>
          <rPr>
            <sz val="10"/>
            <rFont val="Arial"/>
            <family val="2"/>
          </rPr>
          <t xml:space="preserve">Autor:
</t>
        </r>
        <r>
          <rPr>
            <sz val="9"/>
            <color rgb="FF000000"/>
            <rFont val="Tahoma"/>
            <family val="2"/>
            <charset val="1"/>
          </rPr>
          <t xml:space="preserve">Este cálculo se realiza con el fin de tener una aproximación del esfuerzo, pensando solo en el desarrollo según las funcionalidades de los casos de uso. Anteriormente, se sugería utilizar 20 horas persona por UCP, pero a través del tiempo se ha ido mejorando. Está basado en los factores ambientales y se calcula de la siguiente manera:
Primero se debe contar la cantidad de factores ambientales del E1 al E6 que tienen una puntuación menor a 3, también contar la cantidad de estos mismos del E7 y E8 que son mayores que 3.
E=UCP * Horas/hombre
</t>
        </r>
      </text>
    </comment>
  </commentList>
</comments>
</file>

<file path=xl/sharedStrings.xml><?xml version="1.0" encoding="utf-8"?>
<sst xmlns="http://schemas.openxmlformats.org/spreadsheetml/2006/main" count="149" uniqueCount="124">
  <si>
    <t xml:space="preserve">Peso de los actores sin ajustar</t>
  </si>
  <si>
    <t xml:space="preserve">Tipo</t>
  </si>
  <si>
    <t xml:space="preserve">Descripcion</t>
  </si>
  <si>
    <t xml:space="preserve">Factor</t>
  </si>
  <si>
    <t xml:space="preserve">Simple</t>
  </si>
  <si>
    <t xml:space="preserve">Otro sistema que interactúa con el sistema a desarrollar mediante una interfaz de programación de aplicaciones (API).</t>
  </si>
  <si>
    <t xml:space="preserve">Medio</t>
  </si>
  <si>
    <t xml:space="preserve">Otro sistema interactuando a través de un protocolo (ej. TCP/IP, SSH, FTP) o una persona interactuando a través de una interfaz en modo texto.</t>
  </si>
  <si>
    <t xml:space="preserve">Complejo</t>
  </si>
  <si>
    <t xml:space="preserve">Una persona que interactúa con el sistema mediante una interfaz gráfica (GUI).</t>
  </si>
  <si>
    <t xml:space="preserve">Factor de peso de los casos de uso sin ajustar (UUCW)</t>
  </si>
  <si>
    <t xml:space="preserve">Basado en las transacciones (interacción entre el usuario y el sistema)</t>
  </si>
  <si>
    <t xml:space="preserve">Tipo de caso de uso</t>
  </si>
  <si>
    <t xml:space="preserve">Descripción</t>
  </si>
  <si>
    <t xml:space="preserve">3 transacciones o menos</t>
  </si>
  <si>
    <t xml:space="preserve">4 a 7 transacciones</t>
  </si>
  <si>
    <t xml:space="preserve">más de 7 transacciones</t>
  </si>
  <si>
    <t xml:space="preserve">Basado en clases de análisis (cantidad de clases que tiene un UC)</t>
  </si>
  <si>
    <t xml:space="preserve">Menos de 5 clases</t>
  </si>
  <si>
    <t xml:space="preserve">5 a 10 clases</t>
  </si>
  <si>
    <t xml:space="preserve">Más de 10 clases</t>
  </si>
  <si>
    <t xml:space="preserve">Basado en clases de análisis</t>
  </si>
  <si>
    <t xml:space="preserve">Puntos de Casos de uso sin ajustar (UUCP) =  </t>
  </si>
  <si>
    <t xml:space="preserve">UUCW: Factor de peso de los casos de uso sin ajustar</t>
  </si>
  <si>
    <t xml:space="preserve">UAW: Factor de peso de los actores 
sin ajustar</t>
  </si>
  <si>
    <t xml:space="preserve">Caso de uso</t>
  </si>
  <si>
    <t xml:space="preserve">Peso sin ajustar</t>
  </si>
  <si>
    <t xml:space="preserve">Tipo Simple = 5</t>
  </si>
  <si>
    <t xml:space="preserve">Actor</t>
  </si>
  <si>
    <t xml:space="preserve">ABM de Revista, </t>
  </si>
  <si>
    <t xml:space="preserve">editor</t>
  </si>
  <si>
    <t xml:space="preserve">Género, </t>
  </si>
  <si>
    <t xml:space="preserve">Edición, </t>
  </si>
  <si>
    <t xml:space="preserve">Tipo Medio = 10</t>
  </si>
  <si>
    <t xml:space="preserve">Artículo,</t>
  </si>
  <si>
    <t xml:space="preserve"> Periodista</t>
  </si>
  <si>
    <t xml:space="preserve">Tipo Complejo=15</t>
  </si>
  <si>
    <t xml:space="preserve">Subtotal tipo Simple = 1</t>
  </si>
  <si>
    <t xml:space="preserve">Subtotal tipo Medio=2</t>
  </si>
  <si>
    <t xml:space="preserve">Subtotal tipo Complejo=3</t>
  </si>
  <si>
    <t xml:space="preserve">Factor de complejidad tecnica</t>
  </si>
  <si>
    <t xml:space="preserve">Escala de los factores de 
complejidad técnica (Influencia).</t>
  </si>
  <si>
    <t xml:space="preserve">Factor </t>
  </si>
  <si>
    <t xml:space="preserve">Peso</t>
  </si>
  <si>
    <t xml:space="preserve">Influencia</t>
  </si>
  <si>
    <t xml:space="preserve">Resultado</t>
  </si>
  <si>
    <t xml:space="preserve">T1</t>
  </si>
  <si>
    <t xml:space="preserve">Sistema distribuido</t>
  </si>
  <si>
    <t xml:space="preserve">Valor</t>
  </si>
  <si>
    <t xml:space="preserve">T2</t>
  </si>
  <si>
    <t xml:space="preserve">Objetivos de performance o tiempo de respuesta.</t>
  </si>
  <si>
    <t xml:space="preserve">Irrelevante</t>
  </si>
  <si>
    <t xml:space="preserve">De 0 a 2.</t>
  </si>
  <si>
    <t xml:space="preserve">T3</t>
  </si>
  <si>
    <t xml:space="preserve">Eficiencia del usuario final (facilidad con la que el usuario puede interactuar con el sistema y completar sus tareas)</t>
  </si>
  <si>
    <t xml:space="preserve">De 3 a 4.</t>
  </si>
  <si>
    <t xml:space="preserve">T4</t>
  </si>
  <si>
    <t xml:space="preserve">Procesamiento interno complejo.</t>
  </si>
  <si>
    <t xml:space="preserve">Esencial</t>
  </si>
  <si>
    <t xml:space="preserve">T5</t>
  </si>
  <si>
    <t xml:space="preserve">El código debe ser reutilizable.</t>
  </si>
  <si>
    <t xml:space="preserve">T6</t>
  </si>
  <si>
    <t xml:space="preserve">Facilidad de instalación</t>
  </si>
  <si>
    <t xml:space="preserve">T7</t>
  </si>
  <si>
    <t xml:space="preserve">Facilidad de uso – interfaz grafica</t>
  </si>
  <si>
    <t xml:space="preserve">T8</t>
  </si>
  <si>
    <t xml:space="preserve">Portabilidad</t>
  </si>
  <si>
    <t xml:space="preserve">T9</t>
  </si>
  <si>
    <t xml:space="preserve">Facilidad de cambio</t>
  </si>
  <si>
    <t xml:space="preserve">T10</t>
  </si>
  <si>
    <t xml:space="preserve">Concurrencia</t>
  </si>
  <si>
    <t xml:space="preserve">T11</t>
  </si>
  <si>
    <t xml:space="preserve">Incluye objetivos especiales de seguridad</t>
  </si>
  <si>
    <t xml:space="preserve">T12</t>
  </si>
  <si>
    <t xml:space="preserve">Provee acceso directo a terceras partes.</t>
  </si>
  <si>
    <t xml:space="preserve">T13</t>
  </si>
  <si>
    <t xml:space="preserve">Se requiere facilidades especiales de entrenamiento a usuario.</t>
  </si>
  <si>
    <t xml:space="preserve">Factores ambientales</t>
  </si>
  <si>
    <t xml:space="preserve">Esfuerzo horas-hombre (E)</t>
  </si>
  <si>
    <t xml:space="preserve">Filtro</t>
  </si>
  <si>
    <t xml:space="preserve">TOTAL</t>
  </si>
  <si>
    <t xml:space="preserve">E1</t>
  </si>
  <si>
    <t xml:space="preserve">Familiaridad con el modelo de proyecto utilizado</t>
  </si>
  <si>
    <t xml:space="preserve">E1 a E6</t>
  </si>
  <si>
    <t xml:space="preserve">menor que 3</t>
  </si>
  <si>
    <t xml:space="preserve">E2</t>
  </si>
  <si>
    <t xml:space="preserve">Experiencia en la aplicación.</t>
  </si>
  <si>
    <t xml:space="preserve">E7 y E8</t>
  </si>
  <si>
    <t xml:space="preserve">mayor que 3</t>
  </si>
  <si>
    <t xml:space="preserve">E3</t>
  </si>
  <si>
    <t xml:space="preserve">Experiencia en orientación a objetos.</t>
  </si>
  <si>
    <t xml:space="preserve">E4</t>
  </si>
  <si>
    <t xml:space="preserve">Capacidad del analista lider</t>
  </si>
  <si>
    <t xml:space="preserve">Cantidad Horas/Personas segun el valor</t>
  </si>
  <si>
    <t xml:space="preserve">E5</t>
  </si>
  <si>
    <t xml:space="preserve">Motivación</t>
  </si>
  <si>
    <t xml:space="preserve">Horas/Personas</t>
  </si>
  <si>
    <t xml:space="preserve">E6</t>
  </si>
  <si>
    <t xml:space="preserve">Estabilidad en los requerimientos</t>
  </si>
  <si>
    <t xml:space="preserve">si el valor es &lt;= 2</t>
  </si>
  <si>
    <t xml:space="preserve">E7</t>
  </si>
  <si>
    <t xml:space="preserve">Personal part-time</t>
  </si>
  <si>
    <t xml:space="preserve">si el valor es &lt;=4</t>
  </si>
  <si>
    <t xml:space="preserve">E8</t>
  </si>
  <si>
    <t xml:space="preserve">Dificultad del lenguaje de programación</t>
  </si>
  <si>
    <t xml:space="preserve">si el valor es &gt;=5</t>
  </si>
  <si>
    <t xml:space="preserve">El factor tiene un fuerte impacto negativo, </t>
  </si>
  <si>
    <t xml:space="preserve">impacto medio</t>
  </si>
  <si>
    <t xml:space="preserve">El factor tiene un fuerte impacto positivo</t>
  </si>
  <si>
    <t xml:space="preserve">AUCP: Puntos de casos de uso ajustados.</t>
  </si>
  <si>
    <t xml:space="preserve">En la siguiente tabla se detallan la distribución en porcentaje, para el esfuerzo total en el desarrollo del proyecto:</t>
  </si>
  <si>
    <t xml:space="preserve">ACTIVIDAD</t>
  </si>
  <si>
    <t xml:space="preserve">PORCENTAJE</t>
  </si>
  <si>
    <t xml:space="preserve">ESFUERZO ESTIMADO HS/HOMBRE</t>
  </si>
  <si>
    <t xml:space="preserve">Esfuerzo estimado dias/personas</t>
  </si>
  <si>
    <t xml:space="preserve">Análisis</t>
  </si>
  <si>
    <t xml:space="preserve">Diseño</t>
  </si>
  <si>
    <t xml:space="preserve">Programación</t>
  </si>
  <si>
    <t xml:space="preserve">Pruebas</t>
  </si>
  <si>
    <t xml:space="preserve">Despliegue</t>
  </si>
  <si>
    <t xml:space="preserve">Estimación total del proyecto</t>
  </si>
  <si>
    <t xml:space="preserve">Estimación de la codificación</t>
  </si>
  <si>
    <t xml:space="preserve">DÍAS (8 HORAS PRODUCTIVAS)</t>
  </si>
  <si>
    <t xml:space="preserve">MESES (20 DÍAS HÁBILES)</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</si>
</sst>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1"/>
      <color theme="1"/>
      <name val="Arial"/>
      <family val="2"/>
      <charset val="1"/>
    </font>
    <font>
      <b val="true"/>
      <sz val="11"/>
      <color theme="1"/>
      <name val="Calibri"/>
      <family val="2"/>
      <charset val="1"/>
    </font>
    <font>
      <b val="true"/>
      <sz val="11"/>
      <color rgb="FF000000"/>
      <name val="Arial"/>
      <family val="2"/>
      <charset val="1"/>
    </font>
    <font>
      <b val="true"/>
      <sz val="11"/>
      <color rgb="FF202122"/>
      <name val="Arial"/>
      <family val="2"/>
      <charset val="1"/>
    </font>
    <font>
      <b val="true"/>
      <sz val="11"/>
      <color rgb="FF000000"/>
      <name val="Calibri"/>
      <family val="2"/>
      <charset val="1"/>
    </font>
    <font>
      <sz val="11"/>
      <color theme="1"/>
      <name val="Calibri"/>
      <family val="0"/>
    </font>
    <font>
      <b val="true"/>
      <sz val="11"/>
      <color theme="1"/>
      <name val="Calibri"/>
      <family val="0"/>
    </font>
    <font>
      <sz val="10"/>
      <name val="Arial"/>
      <family val="2"/>
    </font>
    <font>
      <sz val="9"/>
      <color rgb="FF000000"/>
      <name val="Tahoma"/>
      <family val="2"/>
      <charset val="1"/>
    </font>
    <font>
      <b val="true"/>
      <sz val="16"/>
      <color theme="1"/>
      <name val="Calibri"/>
      <family val="2"/>
      <charset val="1"/>
    </font>
  </fonts>
  <fills count="8">
    <fill>
      <patternFill patternType="none"/>
    </fill>
    <fill>
      <patternFill patternType="gray125"/>
    </fill>
    <fill>
      <patternFill patternType="solid">
        <fgColor rgb="FFFFFF00"/>
        <bgColor rgb="FFFFFF00"/>
      </patternFill>
    </fill>
    <fill>
      <patternFill patternType="solid">
        <fgColor theme="6" tint="0.5999"/>
        <bgColor rgb="FFDDD9C3"/>
      </patternFill>
    </fill>
    <fill>
      <patternFill patternType="solid">
        <fgColor theme="6" tint="0.7999"/>
        <bgColor rgb="FFDCE6F2"/>
      </patternFill>
    </fill>
    <fill>
      <patternFill patternType="solid">
        <fgColor theme="3" tint="0.7999"/>
        <bgColor rgb="FFDCE6F2"/>
      </patternFill>
    </fill>
    <fill>
      <patternFill patternType="solid">
        <fgColor theme="4" tint="0.7999"/>
        <bgColor rgb="FFEBF1DE"/>
      </patternFill>
    </fill>
    <fill>
      <patternFill patternType="solid">
        <fgColor theme="2" tint="-0.1"/>
        <bgColor rgb="FFD7E4BD"/>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style="thin"/>
      <top/>
      <bottom style="thin"/>
      <diagonal/>
    </border>
    <border diagonalUp="false" diagonalDown="false">
      <left style="thin"/>
      <right style="thin"/>
      <top/>
      <bottom/>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4" fillId="3" borderId="2" xfId="0" applyFont="true" applyBorder="true" applyAlignment="true" applyProtection="false">
      <alignment horizontal="center" vertical="bottom" textRotation="0" wrapText="false" indent="0" shrinkToFit="false"/>
      <protection locked="true" hidden="false"/>
    </xf>
    <xf numFmtId="164" fontId="4" fillId="3" borderId="2" xfId="0" applyFont="true" applyBorder="true" applyAlignment="tru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general" vertical="center"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5" fillId="3"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5" fillId="4" borderId="3" xfId="0" applyFont="true" applyBorder="true" applyAlignment="true" applyProtection="false">
      <alignment horizontal="center" vertical="bottom" textRotation="0" wrapText="false" indent="0" shrinkToFit="false"/>
      <protection locked="true" hidden="false"/>
    </xf>
    <xf numFmtId="164" fontId="5" fillId="4" borderId="0" xfId="0" applyFont="tru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3" borderId="0"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5" borderId="4" xfId="0" applyFont="true" applyBorder="true" applyAlignment="true" applyProtection="false">
      <alignment horizontal="center" vertical="center" textRotation="0" wrapText="false" indent="0" shrinkToFit="false"/>
      <protection locked="true" hidden="false"/>
    </xf>
    <xf numFmtId="164" fontId="5" fillId="5" borderId="0"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6" borderId="3" xfId="0" applyFont="true" applyBorder="true" applyAlignment="false" applyProtection="false">
      <alignment horizontal="general" vertical="bottom" textRotation="0" wrapText="false" indent="0" shrinkToFit="false"/>
      <protection locked="true" hidden="false"/>
    </xf>
    <xf numFmtId="164" fontId="0" fillId="6" borderId="3" xfId="0" applyFont="true" applyBorder="true" applyAlignment="true" applyProtection="false">
      <alignment horizontal="center" vertical="center"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5" fillId="6" borderId="4" xfId="0" applyFont="true" applyBorder="true" applyAlignment="true" applyProtection="false">
      <alignment horizontal="center" vertical="center" textRotation="0" wrapText="false" indent="0" shrinkToFit="false"/>
      <protection locked="true" hidden="false"/>
    </xf>
    <xf numFmtId="164" fontId="5" fillId="6" borderId="0" xfId="0" applyFont="true" applyBorder="true" applyAlignment="true" applyProtection="false">
      <alignment horizontal="center" vertical="center" textRotation="0" wrapText="false" indent="0" shrinkToFit="false"/>
      <protection locked="true" hidden="false"/>
    </xf>
    <xf numFmtId="164" fontId="5" fillId="6" borderId="5"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7" fillId="6" borderId="0" xfId="0" applyFont="true" applyBorder="true" applyAlignment="true" applyProtection="false">
      <alignment horizontal="center" vertical="center" textRotation="0" wrapText="tru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DD9C3"/>
      <rgbColor rgb="FF808080"/>
      <rgbColor rgb="FF9999FF"/>
      <rgbColor rgb="FF993366"/>
      <rgbColor rgb="FFEBF1DE"/>
      <rgbColor rgb="FFDCE6F2"/>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021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Relationship Id="rId9"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7</xdr:col>
      <xdr:colOff>181080</xdr:colOff>
      <xdr:row>1</xdr:row>
      <xdr:rowOff>38160</xdr:rowOff>
    </xdr:from>
    <xdr:to>
      <xdr:col>14</xdr:col>
      <xdr:colOff>542520</xdr:colOff>
      <xdr:row>12</xdr:row>
      <xdr:rowOff>18720</xdr:rowOff>
    </xdr:to>
    <xdr:sp>
      <xdr:nvSpPr>
        <xdr:cNvPr id="1" name="1 CuadroTexto"/>
        <xdr:cNvSpPr/>
      </xdr:nvSpPr>
      <xdr:spPr>
        <a:xfrm>
          <a:off x="10235520" y="219240"/>
          <a:ext cx="4855320" cy="218088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tIns="45000" rIns="90000" bIns="45000" anchor="t">
          <a:noAutofit/>
        </a:bodyPr>
        <a:p>
          <a:pPr>
            <a:lnSpc>
              <a:spcPct val="100000"/>
            </a:lnSpc>
          </a:pPr>
          <a:r>
            <a:rPr lang="es-ES" sz="1100" b="0" u="none" strike="noStrike">
              <a:solidFill>
                <a:schemeClr val="dk1"/>
              </a:solidFill>
              <a:effectLst/>
              <a:uFillTx/>
              <a:latin typeface="Calibri"/>
            </a:rPr>
            <a:t>El UUCP son los puntos de casos de uso sin ajustar, esto nos puede servir para tener una idea un poco más precisa de la dificultad de los casos de uso e interfaces, tomando en cuenta los pesos de los actores (UAW) y los pesos de los casos de uso (UUCW).</a:t>
          </a:r>
          <a:endParaRPr lang="en-US" sz="1100" b="0" u="none" strike="noStrike">
            <a:effectLst/>
            <a:uFillTx/>
            <a:latin typeface="Times New Roman"/>
          </a:endParaRPr>
        </a:p>
        <a:p>
          <a:pPr>
            <a:lnSpc>
              <a:spcPct val="100000"/>
            </a:lnSpc>
          </a:pPr>
          <a:r>
            <a:rPr lang="es-ES" sz="1100" b="1" u="none" strike="noStrike">
              <a:solidFill>
                <a:schemeClr val="dk1"/>
              </a:solidFill>
              <a:effectLst/>
              <a:uFillTx/>
              <a:latin typeface="Calibri"/>
            </a:rPr>
            <a:t>UUCP = UAW + UUCW</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Estas siglas significan:</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UUCP: Puntos de casos de uso sin ajustar.</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UAW: Factor de peso de los actores sin ajustar.</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UUCW: Factor de peso de los casos de uso sin ajustar.</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Aplicando el análisis de puntos de función a estos casos de uso, se puede obtener una estimación trivial del tamaño y a partir de ella una estimación del esfuerzo</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750960</xdr:colOff>
      <xdr:row>1</xdr:row>
      <xdr:rowOff>179280</xdr:rowOff>
    </xdr:from>
    <xdr:to>
      <xdr:col>10</xdr:col>
      <xdr:colOff>142200</xdr:colOff>
      <xdr:row>10</xdr:row>
      <xdr:rowOff>171000</xdr:rowOff>
    </xdr:to>
    <xdr:sp>
      <xdr:nvSpPr>
        <xdr:cNvPr id="2" name="1 CuadroTexto"/>
        <xdr:cNvSpPr/>
      </xdr:nvSpPr>
      <xdr:spPr>
        <a:xfrm>
          <a:off x="3008520" y="1084320"/>
          <a:ext cx="4658400" cy="168948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tIns="45000" rIns="90000" bIns="45000" anchor="t">
          <a:noAutofit/>
        </a:bodyPr>
        <a:p>
          <a:pPr>
            <a:lnSpc>
              <a:spcPct val="100000"/>
            </a:lnSpc>
          </a:pPr>
          <a:r>
            <a:rPr lang="es-ES" sz="1100" b="0" u="none" strike="noStrike">
              <a:solidFill>
                <a:schemeClr val="dk1"/>
              </a:solidFill>
              <a:effectLst/>
              <a:uFillTx/>
              <a:latin typeface="Calibri"/>
            </a:rPr>
            <a:t>Para esto se utilizan las siglas UCP y se obtiene al multiplicar el UUCP el TCF y el EF quedando la operación de la siguiente forma:</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UCP = UUCP x TCF x EF</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Estas siglas significan:</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UCP: Puntos de casos de uso ajustados.</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UUCP: Puntos de casos de uso sin ajustar.</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TCF: Factores técnicos.</a:t>
          </a:r>
          <a:endParaRPr lang="en-US" sz="1100" b="0" u="none" strike="noStrike">
            <a:effectLst/>
            <a:uFillTx/>
            <a:latin typeface="Times New Roman"/>
          </a:endParaRPr>
        </a:p>
        <a:p>
          <a:pPr>
            <a:lnSpc>
              <a:spcPct val="100000"/>
            </a:lnSpc>
          </a:pPr>
          <a:r>
            <a:rPr lang="es-ES" sz="1100" b="0" u="none" strike="noStrike">
              <a:solidFill>
                <a:schemeClr val="dk1"/>
              </a:solidFill>
              <a:effectLst/>
              <a:uFillTx/>
              <a:latin typeface="Calibri"/>
            </a:rPr>
            <a:t>EF: Factores ambientales.</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304920</xdr:colOff>
      <xdr:row>0</xdr:row>
      <xdr:rowOff>123840</xdr:rowOff>
    </xdr:from>
    <xdr:to>
      <xdr:col>6</xdr:col>
      <xdr:colOff>447480</xdr:colOff>
      <xdr:row>5</xdr:row>
      <xdr:rowOff>37800</xdr:rowOff>
    </xdr:to>
    <xdr:sp>
      <xdr:nvSpPr>
        <xdr:cNvPr id="3" name="1 CuadroTexto"/>
        <xdr:cNvSpPr/>
      </xdr:nvSpPr>
      <xdr:spPr>
        <a:xfrm>
          <a:off x="304920" y="123840"/>
          <a:ext cx="8844120" cy="819000"/>
        </a:xfrm>
        <a:prstGeom prst="rect">
          <a:avLst/>
        </a:prstGeom>
        <a:solidFill>
          <a:srgbClr val="FFFFFF"/>
        </a:solidFill>
        <a:ln w="25400">
          <a:solidFill>
            <a:srgbClr val="C0504D"/>
          </a:solidFill>
          <a:round/>
        </a:ln>
      </xdr:spPr>
      <xdr:style>
        <a:lnRef idx="2">
          <a:schemeClr val="accent2"/>
        </a:lnRef>
        <a:fillRef idx="1">
          <a:schemeClr val="lt1"/>
        </a:fillRef>
        <a:effectRef idx="0">
          <a:schemeClr val="accent2"/>
        </a:effectRef>
        <a:fontRef idx="minor"/>
      </xdr:style>
      <xdr:txBody>
        <a:bodyPr horzOverflow="clip" vertOverflow="clip" lIns="90000" tIns="45000" rIns="90000" bIns="45000" anchor="t">
          <a:noAutofit/>
        </a:bodyPr>
        <a:p>
          <a:pPr>
            <a:lnSpc>
              <a:spcPct val="100000"/>
            </a:lnSpc>
          </a:pPr>
          <a:r>
            <a:rPr lang="es-ES" sz="1100" b="0" u="none" strike="noStrike">
              <a:solidFill>
                <a:schemeClr val="dk1"/>
              </a:solidFill>
              <a:effectLst/>
              <a:uFillTx/>
              <a:latin typeface="Calibri"/>
            </a:rPr>
            <a:t>Al realizar la multiplicación del UCP por las horas- persona, se consigue un esfuerzo estimado, que representa una parte del total del esfuerzo de todo el proyecto, generalmente un 40%. Este 40% se refiere al esfuerzo total para el desarrollo de la funcionalidades especificadas en los Casos de Uso.</a:t>
          </a:r>
          <a:endParaRPr lang="en-US" sz="1100" b="0" u="none" strike="noStrik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C11" activeCellId="0" sqref="C11"/>
    </sheetView>
  </sheetViews>
  <sheetFormatPr defaultColWidth="9.109375" defaultRowHeight="14.25" customHeight="false" zeroHeight="false" outlineLevelRow="0" outlineLevelCol="0"/>
  <cols>
    <col collapsed="false" customWidth="true" hidden="false" outlineLevel="0" max="1" min="1" style="0" width="18.34"/>
    <col collapsed="false" customWidth="true" hidden="false" outlineLevel="0" max="2" min="2" style="0" width="127.33"/>
  </cols>
  <sheetData>
    <row r="1" customFormat="false" ht="14.25" hidden="false" customHeight="false" outlineLevel="0" collapsed="false">
      <c r="A1" s="1" t="s">
        <v>0</v>
      </c>
      <c r="B1" s="1"/>
      <c r="C1" s="1"/>
    </row>
    <row r="2" customFormat="false" ht="14.25" hidden="false" customHeight="false" outlineLevel="0" collapsed="false">
      <c r="A2" s="2" t="s">
        <v>1</v>
      </c>
      <c r="B2" s="2" t="s">
        <v>2</v>
      </c>
      <c r="C2" s="2" t="s">
        <v>3</v>
      </c>
    </row>
    <row r="3" customFormat="false" ht="14.25" hidden="false" customHeight="false" outlineLevel="0" collapsed="false">
      <c r="A3" s="3" t="s">
        <v>4</v>
      </c>
      <c r="B3" s="3" t="s">
        <v>5</v>
      </c>
      <c r="C3" s="3" t="n">
        <v>1</v>
      </c>
    </row>
    <row r="4" customFormat="false" ht="14.25" hidden="false" customHeight="false" outlineLevel="0" collapsed="false">
      <c r="A4" s="3" t="s">
        <v>6</v>
      </c>
      <c r="B4" s="3" t="s">
        <v>7</v>
      </c>
      <c r="C4" s="3" t="n">
        <v>2</v>
      </c>
    </row>
    <row r="5" customFormat="false" ht="14.25" hidden="false" customHeight="false" outlineLevel="0" collapsed="false">
      <c r="A5" s="3" t="s">
        <v>8</v>
      </c>
      <c r="B5" s="3" t="s">
        <v>9</v>
      </c>
      <c r="C5" s="3" t="n">
        <v>3</v>
      </c>
    </row>
    <row r="6" customFormat="false" ht="14.25" hidden="false" customHeight="false" outlineLevel="0" collapsed="false">
      <c r="A6" s="3"/>
      <c r="B6" s="3"/>
      <c r="C6" s="3"/>
    </row>
    <row r="8" customFormat="false" ht="14.25" hidden="false" customHeight="true" outlineLevel="0" collapsed="false">
      <c r="A8" s="4" t="s">
        <v>10</v>
      </c>
      <c r="B8" s="4"/>
      <c r="C8" s="4"/>
    </row>
    <row r="9" customFormat="false" ht="14.25" hidden="false" customHeight="false" outlineLevel="0" collapsed="false">
      <c r="A9" s="5"/>
      <c r="B9" s="6" t="s">
        <v>11</v>
      </c>
      <c r="C9" s="6" t="n">
        <v>1</v>
      </c>
    </row>
    <row r="10" customFormat="false" ht="14.25" hidden="false" customHeight="false" outlineLevel="0" collapsed="false">
      <c r="A10" s="3" t="s">
        <v>12</v>
      </c>
      <c r="B10" s="3" t="s">
        <v>13</v>
      </c>
      <c r="C10" s="3" t="s">
        <v>3</v>
      </c>
    </row>
    <row r="11" customFormat="false" ht="14.25" hidden="false" customHeight="false" outlineLevel="0" collapsed="false">
      <c r="A11" s="3" t="s">
        <v>4</v>
      </c>
      <c r="B11" s="3" t="s">
        <v>14</v>
      </c>
      <c r="C11" s="3" t="n">
        <v>5</v>
      </c>
    </row>
    <row r="12" customFormat="false" ht="14.25" hidden="false" customHeight="false" outlineLevel="0" collapsed="false">
      <c r="A12" s="3" t="s">
        <v>6</v>
      </c>
      <c r="B12" s="3" t="s">
        <v>15</v>
      </c>
      <c r="C12" s="3" t="n">
        <v>10</v>
      </c>
    </row>
    <row r="13" customFormat="false" ht="14.25" hidden="false" customHeight="false" outlineLevel="0" collapsed="false">
      <c r="A13" s="3" t="s">
        <v>8</v>
      </c>
      <c r="B13" s="3" t="s">
        <v>16</v>
      </c>
      <c r="C13" s="3" t="n">
        <v>15</v>
      </c>
    </row>
    <row r="14" customFormat="false" ht="15.75" hidden="false" customHeight="true" outlineLevel="0" collapsed="false">
      <c r="A14" s="7"/>
      <c r="B14" s="8" t="s">
        <v>17</v>
      </c>
      <c r="C14" s="9" t="n">
        <v>2</v>
      </c>
    </row>
    <row r="15" customFormat="false" ht="14.25" hidden="false" customHeight="false" outlineLevel="0" collapsed="false">
      <c r="A15" s="3" t="s">
        <v>12</v>
      </c>
      <c r="B15" s="3" t="s">
        <v>13</v>
      </c>
      <c r="C15" s="3" t="s">
        <v>3</v>
      </c>
    </row>
    <row r="16" customFormat="false" ht="14.25" hidden="false" customHeight="false" outlineLevel="0" collapsed="false">
      <c r="A16" s="3" t="s">
        <v>4</v>
      </c>
      <c r="B16" s="3" t="s">
        <v>18</v>
      </c>
      <c r="C16" s="3" t="n">
        <v>5</v>
      </c>
    </row>
    <row r="17" customFormat="false" ht="14.25" hidden="false" customHeight="false" outlineLevel="0" collapsed="false">
      <c r="A17" s="3" t="s">
        <v>6</v>
      </c>
      <c r="B17" s="3" t="s">
        <v>19</v>
      </c>
      <c r="C17" s="3" t="n">
        <v>10</v>
      </c>
    </row>
    <row r="18" customFormat="false" ht="14.25" hidden="false" customHeight="false" outlineLevel="0" collapsed="false">
      <c r="A18" s="3" t="s">
        <v>8</v>
      </c>
      <c r="B18" s="3" t="s">
        <v>20</v>
      </c>
      <c r="C18" s="3" t="n">
        <v>15</v>
      </c>
    </row>
  </sheetData>
  <mergeCells count="2">
    <mergeCell ref="A1:C1"/>
    <mergeCell ref="A8:C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E7" activeCellId="0" sqref="E7"/>
    </sheetView>
  </sheetViews>
  <sheetFormatPr defaultColWidth="9.109375" defaultRowHeight="14.25" customHeight="false" zeroHeight="false" outlineLevelRow="0" outlineLevelCol="0"/>
  <cols>
    <col collapsed="false" customWidth="true" hidden="false" outlineLevel="0" max="1" min="1" style="0" width="48.88"/>
    <col collapsed="false" customWidth="true" hidden="false" outlineLevel="0" max="3" min="2" style="0" width="17.11"/>
    <col collapsed="false" customWidth="true" hidden="false" outlineLevel="0" max="5" min="5" style="0" width="23.67"/>
    <col collapsed="false" customWidth="true" hidden="false" outlineLevel="0" max="6" min="6" style="0" width="17.67"/>
  </cols>
  <sheetData>
    <row r="1" customFormat="false" ht="14.25" hidden="false" customHeight="false" outlineLevel="0" collapsed="false">
      <c r="A1" s="10"/>
    </row>
    <row r="2" customFormat="false" ht="14.25" hidden="false" customHeight="false" outlineLevel="0" collapsed="false">
      <c r="A2" s="11" t="s">
        <v>21</v>
      </c>
    </row>
    <row r="3" customFormat="false" ht="14.25" hidden="false" customHeight="false" outlineLevel="0" collapsed="false">
      <c r="A3" s="12" t="s">
        <v>22</v>
      </c>
      <c r="B3" s="13" t="n">
        <f aca="false">SUM($G$4,$C$4)</f>
        <v>31</v>
      </c>
    </row>
    <row r="4" customFormat="false" ht="30.75" hidden="false" customHeight="true" outlineLevel="0" collapsed="false">
      <c r="A4" s="14" t="s">
        <v>23</v>
      </c>
      <c r="B4" s="14"/>
      <c r="C4" s="15" t="n">
        <f aca="false">SUM($C$7,$C$10,$C$13)</f>
        <v>25</v>
      </c>
      <c r="E4" s="16" t="s">
        <v>24</v>
      </c>
      <c r="F4" s="16"/>
      <c r="G4" s="15" t="n">
        <f aca="false">SUM($F$27,$F$29,$F$31)</f>
        <v>6</v>
      </c>
    </row>
    <row r="5" customFormat="false" ht="14.25" hidden="false" customHeight="false" outlineLevel="0" collapsed="false">
      <c r="A5" s="17" t="s">
        <v>25</v>
      </c>
      <c r="B5" s="17" t="s">
        <v>26</v>
      </c>
      <c r="C5" s="18" t="s">
        <v>27</v>
      </c>
      <c r="E5" s="19" t="s">
        <v>28</v>
      </c>
      <c r="F5" s="19" t="s">
        <v>26</v>
      </c>
    </row>
    <row r="6" customFormat="false" ht="14.25" hidden="false" customHeight="false" outlineLevel="0" collapsed="false">
      <c r="A6" s="20" t="s">
        <v>29</v>
      </c>
      <c r="B6" s="21" t="n">
        <v>5</v>
      </c>
      <c r="C6" s="0" t="n">
        <f aca="false">COUNTIF(B6:B126,5)</f>
        <v>5</v>
      </c>
      <c r="E6" s="20" t="s">
        <v>30</v>
      </c>
      <c r="F6" s="21" t="n">
        <v>3</v>
      </c>
    </row>
    <row r="7" customFormat="false" ht="14.25" hidden="false" customHeight="false" outlineLevel="0" collapsed="false">
      <c r="A7" s="20" t="s">
        <v>31</v>
      </c>
      <c r="B7" s="21" t="n">
        <v>5</v>
      </c>
      <c r="C7" s="22" t="n">
        <f aca="false">PRODUCT(C6*5)</f>
        <v>25</v>
      </c>
      <c r="E7" s="23"/>
      <c r="F7" s="21" t="n">
        <v>3</v>
      </c>
    </row>
    <row r="8" customFormat="false" ht="14.25" hidden="false" customHeight="false" outlineLevel="0" collapsed="false">
      <c r="A8" s="20" t="s">
        <v>32</v>
      </c>
      <c r="B8" s="21" t="n">
        <v>5</v>
      </c>
      <c r="C8" s="24" t="s">
        <v>33</v>
      </c>
      <c r="E8" s="20"/>
      <c r="F8" s="21"/>
    </row>
    <row r="9" customFormat="false" ht="14.25" hidden="false" customHeight="false" outlineLevel="0" collapsed="false">
      <c r="A9" s="20" t="s">
        <v>34</v>
      </c>
      <c r="B9" s="21" t="n">
        <v>5</v>
      </c>
      <c r="C9" s="25" t="n">
        <f aca="false">COUNTIF($B$6:$B$126,10)</f>
        <v>0</v>
      </c>
      <c r="E9" s="20"/>
      <c r="F9" s="21"/>
    </row>
    <row r="10" customFormat="false" ht="14.25" hidden="false" customHeight="false" outlineLevel="0" collapsed="false">
      <c r="A10" s="20" t="s">
        <v>35</v>
      </c>
      <c r="B10" s="21" t="n">
        <v>5</v>
      </c>
      <c r="C10" s="22" t="n">
        <f aca="false">PRODUCT($C$9,10)</f>
        <v>0</v>
      </c>
      <c r="E10" s="20"/>
      <c r="F10" s="21"/>
    </row>
    <row r="11" customFormat="false" ht="14.25" hidden="false" customHeight="false" outlineLevel="0" collapsed="false">
      <c r="A11" s="20"/>
      <c r="B11" s="21"/>
      <c r="C11" s="24" t="s">
        <v>36</v>
      </c>
      <c r="E11" s="20"/>
      <c r="F11" s="21"/>
    </row>
    <row r="12" customFormat="false" ht="14.25" hidden="false" customHeight="false" outlineLevel="0" collapsed="false">
      <c r="A12" s="20"/>
      <c r="B12" s="21"/>
      <c r="C12" s="25" t="n">
        <f aca="false">COUNTIF(B6:B126,15)</f>
        <v>0</v>
      </c>
      <c r="E12" s="20"/>
      <c r="F12" s="21"/>
    </row>
    <row r="13" customFormat="false" ht="14.25" hidden="false" customHeight="false" outlineLevel="0" collapsed="false">
      <c r="A13" s="20"/>
      <c r="B13" s="21"/>
      <c r="C13" s="22" t="n">
        <f aca="false">PRODUCT(C12*15)</f>
        <v>0</v>
      </c>
      <c r="E13" s="20"/>
      <c r="F13" s="21"/>
    </row>
    <row r="14" customFormat="false" ht="14.25" hidden="false" customHeight="false" outlineLevel="0" collapsed="false">
      <c r="A14" s="20"/>
      <c r="B14" s="21"/>
      <c r="E14" s="20"/>
      <c r="F14" s="21"/>
    </row>
    <row r="15" customFormat="false" ht="14.25" hidden="false" customHeight="false" outlineLevel="0" collapsed="false">
      <c r="A15" s="20"/>
      <c r="B15" s="21"/>
      <c r="C15" s="25"/>
      <c r="E15" s="20"/>
      <c r="F15" s="21"/>
    </row>
    <row r="16" customFormat="false" ht="14.25" hidden="false" customHeight="false" outlineLevel="0" collapsed="false">
      <c r="A16" s="20"/>
      <c r="B16" s="21"/>
      <c r="C16" s="25"/>
      <c r="E16" s="20"/>
      <c r="F16" s="21"/>
    </row>
    <row r="17" customFormat="false" ht="14.25" hidden="false" customHeight="false" outlineLevel="0" collapsed="false">
      <c r="A17" s="20"/>
      <c r="B17" s="21"/>
      <c r="C17" s="25"/>
      <c r="E17" s="20"/>
      <c r="F17" s="21"/>
    </row>
    <row r="18" customFormat="false" ht="14.25" hidden="false" customHeight="false" outlineLevel="0" collapsed="false">
      <c r="A18" s="20"/>
      <c r="B18" s="21"/>
      <c r="C18" s="25"/>
      <c r="E18" s="20"/>
      <c r="F18" s="21"/>
    </row>
    <row r="19" customFormat="false" ht="14.25" hidden="false" customHeight="false" outlineLevel="0" collapsed="false">
      <c r="A19" s="20"/>
      <c r="B19" s="21"/>
      <c r="C19" s="25"/>
      <c r="E19" s="20"/>
      <c r="F19" s="21"/>
    </row>
    <row r="20" customFormat="false" ht="14.25" hidden="false" customHeight="false" outlineLevel="0" collapsed="false">
      <c r="A20" s="20"/>
      <c r="B20" s="21"/>
      <c r="C20" s="25"/>
      <c r="E20" s="20"/>
      <c r="F20" s="21"/>
    </row>
    <row r="21" customFormat="false" ht="14.25" hidden="false" customHeight="false" outlineLevel="0" collapsed="false">
      <c r="A21" s="20"/>
      <c r="B21" s="21"/>
      <c r="C21" s="25"/>
      <c r="E21" s="20"/>
      <c r="F21" s="21"/>
    </row>
    <row r="22" customFormat="false" ht="14.25" hidden="false" customHeight="false" outlineLevel="0" collapsed="false">
      <c r="A22" s="20"/>
      <c r="B22" s="21"/>
      <c r="C22" s="25"/>
      <c r="E22" s="20"/>
      <c r="F22" s="21"/>
    </row>
    <row r="23" customFormat="false" ht="14.25" hidden="false" customHeight="false" outlineLevel="0" collapsed="false">
      <c r="A23" s="20"/>
      <c r="B23" s="21"/>
      <c r="C23" s="25"/>
      <c r="E23" s="20"/>
      <c r="F23" s="21"/>
    </row>
    <row r="24" customFormat="false" ht="14.25" hidden="false" customHeight="false" outlineLevel="0" collapsed="false">
      <c r="A24" s="20"/>
      <c r="B24" s="21"/>
      <c r="C24" s="25"/>
      <c r="E24" s="20"/>
      <c r="F24" s="21"/>
    </row>
    <row r="25" customFormat="false" ht="14.25" hidden="false" customHeight="false" outlineLevel="0" collapsed="false">
      <c r="A25" s="20"/>
      <c r="B25" s="21"/>
      <c r="C25" s="25"/>
      <c r="E25" s="20"/>
      <c r="F25" s="21"/>
    </row>
    <row r="26" customFormat="false" ht="14.25" hidden="false" customHeight="false" outlineLevel="0" collapsed="false">
      <c r="A26" s="20"/>
      <c r="B26" s="21"/>
      <c r="C26" s="25"/>
      <c r="E26" s="7" t="s">
        <v>37</v>
      </c>
      <c r="F26" s="0" t="n">
        <f aca="false">COUNTIF(F6:F25,1)</f>
        <v>0</v>
      </c>
    </row>
    <row r="27" customFormat="false" ht="14.25" hidden="false" customHeight="false" outlineLevel="0" collapsed="false">
      <c r="A27" s="20"/>
      <c r="B27" s="21"/>
      <c r="C27" s="25"/>
      <c r="F27" s="7" t="n">
        <f aca="false">PRODUCT(F26,1)</f>
        <v>0</v>
      </c>
    </row>
    <row r="28" customFormat="false" ht="14.25" hidden="false" customHeight="false" outlineLevel="0" collapsed="false">
      <c r="A28" s="20"/>
      <c r="B28" s="21"/>
      <c r="C28" s="25"/>
      <c r="E28" s="7" t="s">
        <v>38</v>
      </c>
      <c r="F28" s="0" t="n">
        <f aca="false">COUNTIF(F6:F25,2)</f>
        <v>0</v>
      </c>
    </row>
    <row r="29" customFormat="false" ht="14.25" hidden="false" customHeight="false" outlineLevel="0" collapsed="false">
      <c r="A29" s="20"/>
      <c r="B29" s="21"/>
      <c r="C29" s="25"/>
      <c r="F29" s="7" t="n">
        <f aca="false">PRODUCT(F28,2)</f>
        <v>0</v>
      </c>
    </row>
    <row r="30" customFormat="false" ht="14.25" hidden="false" customHeight="false" outlineLevel="0" collapsed="false">
      <c r="A30" s="20"/>
      <c r="B30" s="21"/>
      <c r="C30" s="25"/>
      <c r="E30" s="7" t="s">
        <v>39</v>
      </c>
      <c r="F30" s="0" t="n">
        <f aca="false">COUNTIF(F6:F25,3)</f>
        <v>2</v>
      </c>
    </row>
    <row r="31" customFormat="false" ht="14.25" hidden="false" customHeight="false" outlineLevel="0" collapsed="false">
      <c r="A31" s="20"/>
      <c r="B31" s="21"/>
      <c r="C31" s="25"/>
      <c r="F31" s="7" t="n">
        <f aca="false">PRODUCT(F30,3)</f>
        <v>6</v>
      </c>
    </row>
    <row r="32" customFormat="false" ht="14.25" hidden="false" customHeight="false" outlineLevel="0" collapsed="false">
      <c r="A32" s="20"/>
      <c r="B32" s="21"/>
      <c r="C32" s="25"/>
    </row>
    <row r="33" customFormat="false" ht="14.25" hidden="false" customHeight="false" outlineLevel="0" collapsed="false">
      <c r="A33" s="20"/>
      <c r="B33" s="21"/>
      <c r="C33" s="25"/>
    </row>
    <row r="34" customFormat="false" ht="14.25" hidden="false" customHeight="false" outlineLevel="0" collapsed="false">
      <c r="A34" s="20"/>
      <c r="B34" s="21"/>
      <c r="C34" s="25"/>
    </row>
    <row r="35" customFormat="false" ht="14.25" hidden="false" customHeight="false" outlineLevel="0" collapsed="false">
      <c r="A35" s="20"/>
      <c r="B35" s="21"/>
      <c r="C35" s="25"/>
    </row>
    <row r="36" customFormat="false" ht="14.25" hidden="false" customHeight="false" outlineLevel="0" collapsed="false">
      <c r="A36" s="20"/>
      <c r="B36" s="21"/>
      <c r="C36" s="25"/>
    </row>
    <row r="37" customFormat="false" ht="14.25" hidden="false" customHeight="false" outlineLevel="0" collapsed="false">
      <c r="A37" s="20"/>
      <c r="B37" s="21"/>
      <c r="C37" s="25"/>
    </row>
    <row r="38" customFormat="false" ht="14.25" hidden="false" customHeight="false" outlineLevel="0" collapsed="false">
      <c r="A38" s="20"/>
      <c r="B38" s="21"/>
      <c r="C38" s="25"/>
    </row>
    <row r="39" customFormat="false" ht="14.25" hidden="false" customHeight="false" outlineLevel="0" collapsed="false">
      <c r="A39" s="20"/>
      <c r="B39" s="21"/>
      <c r="C39" s="25"/>
    </row>
    <row r="40" customFormat="false" ht="14.25" hidden="false" customHeight="false" outlineLevel="0" collapsed="false">
      <c r="A40" s="20"/>
      <c r="B40" s="21"/>
      <c r="C40" s="25"/>
    </row>
    <row r="41" customFormat="false" ht="14.25" hidden="false" customHeight="false" outlineLevel="0" collapsed="false">
      <c r="A41" s="20"/>
      <c r="B41" s="21"/>
      <c r="C41" s="25"/>
    </row>
    <row r="42" customFormat="false" ht="14.25" hidden="false" customHeight="false" outlineLevel="0" collapsed="false">
      <c r="A42" s="20"/>
      <c r="B42" s="21"/>
      <c r="C42" s="25"/>
    </row>
    <row r="43" customFormat="false" ht="14.25" hidden="false" customHeight="false" outlineLevel="0" collapsed="false">
      <c r="A43" s="20"/>
      <c r="B43" s="21"/>
      <c r="C43" s="25"/>
    </row>
    <row r="44" customFormat="false" ht="14.25" hidden="false" customHeight="false" outlineLevel="0" collapsed="false">
      <c r="A44" s="20"/>
      <c r="B44" s="21"/>
      <c r="C44" s="25"/>
    </row>
    <row r="45" customFormat="false" ht="14.25" hidden="false" customHeight="false" outlineLevel="0" collapsed="false">
      <c r="A45" s="20"/>
      <c r="B45" s="21"/>
      <c r="C45" s="25"/>
    </row>
    <row r="46" customFormat="false" ht="14.25" hidden="false" customHeight="false" outlineLevel="0" collapsed="false">
      <c r="A46" s="20"/>
      <c r="B46" s="21"/>
      <c r="C46" s="25"/>
    </row>
    <row r="47" customFormat="false" ht="14.25" hidden="false" customHeight="false" outlineLevel="0" collapsed="false">
      <c r="A47" s="20"/>
      <c r="B47" s="21"/>
      <c r="C47" s="25"/>
    </row>
    <row r="48" customFormat="false" ht="14.25" hidden="false" customHeight="false" outlineLevel="0" collapsed="false">
      <c r="A48" s="20"/>
      <c r="B48" s="21"/>
      <c r="C48" s="25"/>
    </row>
    <row r="49" customFormat="false" ht="14.25" hidden="false" customHeight="false" outlineLevel="0" collapsed="false">
      <c r="A49" s="20"/>
      <c r="B49" s="21"/>
      <c r="C49" s="25"/>
    </row>
    <row r="50" customFormat="false" ht="14.25" hidden="false" customHeight="false" outlineLevel="0" collapsed="false">
      <c r="A50" s="20"/>
      <c r="B50" s="21"/>
      <c r="C50" s="25"/>
    </row>
    <row r="51" customFormat="false" ht="14.25" hidden="false" customHeight="false" outlineLevel="0" collapsed="false">
      <c r="A51" s="20"/>
      <c r="B51" s="21"/>
      <c r="C51" s="25"/>
    </row>
    <row r="52" customFormat="false" ht="14.25" hidden="false" customHeight="false" outlineLevel="0" collapsed="false">
      <c r="A52" s="20"/>
      <c r="B52" s="21"/>
      <c r="C52" s="25"/>
    </row>
    <row r="53" customFormat="false" ht="14.25" hidden="false" customHeight="false" outlineLevel="0" collapsed="false">
      <c r="A53" s="20"/>
      <c r="B53" s="21"/>
      <c r="C53" s="25"/>
    </row>
    <row r="54" customFormat="false" ht="14.25" hidden="false" customHeight="false" outlineLevel="0" collapsed="false">
      <c r="A54" s="20"/>
      <c r="B54" s="21"/>
      <c r="C54" s="25"/>
    </row>
    <row r="55" customFormat="false" ht="14.25" hidden="false" customHeight="false" outlineLevel="0" collapsed="false">
      <c r="A55" s="20"/>
      <c r="B55" s="21"/>
      <c r="C55" s="25"/>
    </row>
    <row r="56" customFormat="false" ht="14.25" hidden="false" customHeight="false" outlineLevel="0" collapsed="false">
      <c r="A56" s="20"/>
      <c r="B56" s="21"/>
      <c r="C56" s="25"/>
    </row>
    <row r="57" customFormat="false" ht="14.25" hidden="false" customHeight="false" outlineLevel="0" collapsed="false">
      <c r="A57" s="20"/>
      <c r="B57" s="21"/>
      <c r="C57" s="25"/>
    </row>
    <row r="58" customFormat="false" ht="14.25" hidden="false" customHeight="false" outlineLevel="0" collapsed="false">
      <c r="A58" s="20"/>
      <c r="B58" s="21"/>
      <c r="C58" s="25"/>
    </row>
    <row r="59" customFormat="false" ht="14.25" hidden="false" customHeight="false" outlineLevel="0" collapsed="false">
      <c r="A59" s="20"/>
      <c r="B59" s="21"/>
      <c r="C59" s="25"/>
    </row>
    <row r="60" customFormat="false" ht="14.25" hidden="false" customHeight="false" outlineLevel="0" collapsed="false">
      <c r="A60" s="20"/>
      <c r="B60" s="21"/>
      <c r="C60" s="25"/>
    </row>
    <row r="61" customFormat="false" ht="14.25" hidden="false" customHeight="false" outlineLevel="0" collapsed="false">
      <c r="A61" s="20"/>
      <c r="B61" s="21"/>
      <c r="C61" s="25"/>
    </row>
    <row r="62" customFormat="false" ht="14.25" hidden="false" customHeight="false" outlineLevel="0" collapsed="false">
      <c r="A62" s="20"/>
      <c r="B62" s="21"/>
      <c r="C62" s="25"/>
    </row>
    <row r="63" customFormat="false" ht="14.25" hidden="false" customHeight="false" outlineLevel="0" collapsed="false">
      <c r="A63" s="20"/>
      <c r="B63" s="21"/>
      <c r="C63" s="25"/>
    </row>
    <row r="64" customFormat="false" ht="14.25" hidden="false" customHeight="false" outlineLevel="0" collapsed="false">
      <c r="A64" s="20"/>
      <c r="B64" s="21"/>
      <c r="C64" s="25"/>
    </row>
    <row r="65" customFormat="false" ht="14.25" hidden="false" customHeight="false" outlineLevel="0" collapsed="false">
      <c r="A65" s="20"/>
      <c r="B65" s="21"/>
      <c r="C65" s="25"/>
    </row>
    <row r="66" customFormat="false" ht="14.25" hidden="false" customHeight="false" outlineLevel="0" collapsed="false">
      <c r="A66" s="20"/>
      <c r="B66" s="21"/>
      <c r="C66" s="25"/>
    </row>
    <row r="67" customFormat="false" ht="14.25" hidden="false" customHeight="false" outlineLevel="0" collapsed="false">
      <c r="A67" s="20"/>
      <c r="B67" s="21"/>
      <c r="C67" s="25"/>
    </row>
    <row r="68" customFormat="false" ht="14.25" hidden="false" customHeight="false" outlineLevel="0" collapsed="false">
      <c r="A68" s="20"/>
      <c r="B68" s="21"/>
      <c r="C68" s="25"/>
    </row>
    <row r="69" customFormat="false" ht="14.25" hidden="false" customHeight="false" outlineLevel="0" collapsed="false">
      <c r="A69" s="20"/>
      <c r="B69" s="21"/>
      <c r="C69" s="25"/>
    </row>
    <row r="70" customFormat="false" ht="14.25" hidden="false" customHeight="false" outlineLevel="0" collapsed="false">
      <c r="A70" s="20"/>
      <c r="B70" s="21"/>
      <c r="C70" s="25"/>
    </row>
    <row r="71" customFormat="false" ht="14.25" hidden="false" customHeight="false" outlineLevel="0" collapsed="false">
      <c r="A71" s="20"/>
      <c r="B71" s="21"/>
      <c r="C71" s="25"/>
    </row>
    <row r="72" customFormat="false" ht="14.25" hidden="false" customHeight="false" outlineLevel="0" collapsed="false">
      <c r="A72" s="20"/>
      <c r="B72" s="21"/>
      <c r="C72" s="25"/>
    </row>
    <row r="73" customFormat="false" ht="14.25" hidden="false" customHeight="false" outlineLevel="0" collapsed="false">
      <c r="A73" s="20"/>
      <c r="B73" s="21"/>
      <c r="C73" s="25"/>
    </row>
    <row r="74" customFormat="false" ht="14.25" hidden="false" customHeight="false" outlineLevel="0" collapsed="false">
      <c r="A74" s="20"/>
      <c r="B74" s="21"/>
      <c r="C74" s="25"/>
    </row>
    <row r="75" customFormat="false" ht="14.25" hidden="false" customHeight="false" outlineLevel="0" collapsed="false">
      <c r="A75" s="20"/>
      <c r="B75" s="21"/>
      <c r="C75" s="25"/>
    </row>
    <row r="76" customFormat="false" ht="14.25" hidden="false" customHeight="false" outlineLevel="0" collapsed="false">
      <c r="A76" s="20"/>
      <c r="B76" s="21"/>
      <c r="C76" s="25"/>
    </row>
    <row r="77" customFormat="false" ht="14.25" hidden="false" customHeight="false" outlineLevel="0" collapsed="false">
      <c r="A77" s="20"/>
      <c r="B77" s="21"/>
      <c r="C77" s="25"/>
    </row>
    <row r="78" customFormat="false" ht="14.25" hidden="false" customHeight="false" outlineLevel="0" collapsed="false">
      <c r="A78" s="20"/>
      <c r="B78" s="21"/>
      <c r="C78" s="25"/>
    </row>
    <row r="79" customFormat="false" ht="14.25" hidden="false" customHeight="false" outlineLevel="0" collapsed="false">
      <c r="A79" s="20"/>
      <c r="B79" s="21"/>
      <c r="C79" s="25"/>
    </row>
    <row r="80" customFormat="false" ht="14.25" hidden="false" customHeight="false" outlineLevel="0" collapsed="false">
      <c r="A80" s="20"/>
      <c r="B80" s="21"/>
      <c r="C80" s="25"/>
    </row>
    <row r="81" customFormat="false" ht="14.25" hidden="false" customHeight="false" outlineLevel="0" collapsed="false">
      <c r="A81" s="20"/>
      <c r="B81" s="21"/>
      <c r="C81" s="25"/>
    </row>
    <row r="82" customFormat="false" ht="14.25" hidden="false" customHeight="false" outlineLevel="0" collapsed="false">
      <c r="A82" s="20"/>
      <c r="B82" s="21"/>
      <c r="C82" s="25"/>
    </row>
    <row r="83" customFormat="false" ht="14.25" hidden="false" customHeight="false" outlineLevel="0" collapsed="false">
      <c r="A83" s="20"/>
      <c r="B83" s="21"/>
      <c r="C83" s="25"/>
    </row>
    <row r="84" customFormat="false" ht="14.25" hidden="false" customHeight="false" outlineLevel="0" collapsed="false">
      <c r="A84" s="20"/>
      <c r="B84" s="21"/>
      <c r="C84" s="25"/>
    </row>
    <row r="85" customFormat="false" ht="14.25" hidden="false" customHeight="false" outlineLevel="0" collapsed="false">
      <c r="A85" s="20"/>
      <c r="B85" s="21"/>
      <c r="C85" s="25"/>
    </row>
    <row r="86" customFormat="false" ht="14.25" hidden="false" customHeight="false" outlineLevel="0" collapsed="false">
      <c r="A86" s="20"/>
      <c r="B86" s="21"/>
      <c r="C86" s="25"/>
    </row>
    <row r="87" customFormat="false" ht="14.25" hidden="false" customHeight="false" outlineLevel="0" collapsed="false">
      <c r="A87" s="20"/>
      <c r="B87" s="21"/>
      <c r="C87" s="25"/>
    </row>
    <row r="88" customFormat="false" ht="14.25" hidden="false" customHeight="false" outlineLevel="0" collapsed="false">
      <c r="A88" s="20"/>
      <c r="B88" s="21"/>
      <c r="C88" s="25"/>
    </row>
    <row r="89" customFormat="false" ht="14.25" hidden="false" customHeight="false" outlineLevel="0" collapsed="false">
      <c r="A89" s="20"/>
      <c r="B89" s="21"/>
      <c r="C89" s="25"/>
    </row>
    <row r="90" customFormat="false" ht="14.25" hidden="false" customHeight="false" outlineLevel="0" collapsed="false">
      <c r="A90" s="20"/>
      <c r="B90" s="21"/>
      <c r="C90" s="25"/>
    </row>
    <row r="91" customFormat="false" ht="14.25" hidden="false" customHeight="false" outlineLevel="0" collapsed="false">
      <c r="A91" s="20"/>
      <c r="B91" s="21"/>
      <c r="C91" s="25"/>
    </row>
    <row r="92" customFormat="false" ht="14.25" hidden="false" customHeight="false" outlineLevel="0" collapsed="false">
      <c r="A92" s="20"/>
      <c r="B92" s="21"/>
      <c r="C92" s="25"/>
    </row>
    <row r="93" customFormat="false" ht="14.25" hidden="false" customHeight="false" outlineLevel="0" collapsed="false">
      <c r="A93" s="20"/>
      <c r="B93" s="21"/>
      <c r="C93" s="25"/>
    </row>
    <row r="94" customFormat="false" ht="14.25" hidden="false" customHeight="false" outlineLevel="0" collapsed="false">
      <c r="A94" s="20"/>
      <c r="B94" s="21"/>
      <c r="C94" s="25"/>
    </row>
    <row r="95" customFormat="false" ht="14.25" hidden="false" customHeight="false" outlineLevel="0" collapsed="false">
      <c r="A95" s="20"/>
      <c r="B95" s="21"/>
      <c r="C95" s="25"/>
    </row>
    <row r="96" customFormat="false" ht="14.25" hidden="false" customHeight="false" outlineLevel="0" collapsed="false">
      <c r="A96" s="20"/>
      <c r="B96" s="21"/>
      <c r="C96" s="25"/>
    </row>
    <row r="97" customFormat="false" ht="14.25" hidden="false" customHeight="false" outlineLevel="0" collapsed="false">
      <c r="A97" s="20"/>
      <c r="B97" s="21"/>
      <c r="C97" s="25"/>
    </row>
    <row r="98" customFormat="false" ht="14.25" hidden="false" customHeight="false" outlineLevel="0" collapsed="false">
      <c r="A98" s="20"/>
      <c r="B98" s="21"/>
      <c r="C98" s="25"/>
    </row>
    <row r="99" customFormat="false" ht="14.25" hidden="false" customHeight="false" outlineLevel="0" collapsed="false">
      <c r="A99" s="20"/>
      <c r="B99" s="21"/>
      <c r="C99" s="25"/>
    </row>
    <row r="100" customFormat="false" ht="14.25" hidden="false" customHeight="false" outlineLevel="0" collapsed="false">
      <c r="A100" s="20"/>
      <c r="B100" s="21"/>
      <c r="C100" s="25"/>
    </row>
    <row r="101" customFormat="false" ht="14.25" hidden="false" customHeight="false" outlineLevel="0" collapsed="false">
      <c r="A101" s="20"/>
      <c r="B101" s="21"/>
      <c r="C101" s="25"/>
    </row>
    <row r="102" customFormat="false" ht="14.25" hidden="false" customHeight="false" outlineLevel="0" collapsed="false">
      <c r="A102" s="20"/>
      <c r="B102" s="21"/>
      <c r="C102" s="25"/>
    </row>
    <row r="103" customFormat="false" ht="14.25" hidden="false" customHeight="false" outlineLevel="0" collapsed="false">
      <c r="A103" s="20"/>
      <c r="B103" s="21"/>
      <c r="C103" s="25"/>
    </row>
    <row r="104" customFormat="false" ht="14.25" hidden="false" customHeight="false" outlineLevel="0" collapsed="false">
      <c r="A104" s="20"/>
      <c r="B104" s="21"/>
      <c r="C104" s="25"/>
    </row>
    <row r="105" customFormat="false" ht="14.25" hidden="false" customHeight="false" outlineLevel="0" collapsed="false">
      <c r="A105" s="20"/>
      <c r="B105" s="21"/>
      <c r="C105" s="25"/>
    </row>
    <row r="106" customFormat="false" ht="14.25" hidden="false" customHeight="false" outlineLevel="0" collapsed="false">
      <c r="A106" s="20"/>
      <c r="B106" s="21"/>
      <c r="C106" s="25"/>
    </row>
    <row r="107" customFormat="false" ht="14.25" hidden="false" customHeight="false" outlineLevel="0" collapsed="false">
      <c r="A107" s="20"/>
      <c r="B107" s="21"/>
      <c r="C107" s="25"/>
    </row>
    <row r="108" customFormat="false" ht="14.25" hidden="false" customHeight="false" outlineLevel="0" collapsed="false">
      <c r="A108" s="20"/>
      <c r="B108" s="21"/>
      <c r="C108" s="25"/>
    </row>
    <row r="109" customFormat="false" ht="14.25" hidden="false" customHeight="false" outlineLevel="0" collapsed="false">
      <c r="A109" s="20"/>
      <c r="B109" s="21"/>
      <c r="C109" s="25"/>
    </row>
    <row r="110" customFormat="false" ht="14.25" hidden="false" customHeight="false" outlineLevel="0" collapsed="false">
      <c r="A110" s="20"/>
      <c r="B110" s="21"/>
      <c r="C110" s="25"/>
    </row>
    <row r="111" customFormat="false" ht="14.25" hidden="false" customHeight="false" outlineLevel="0" collapsed="false">
      <c r="A111" s="20"/>
      <c r="B111" s="21"/>
      <c r="C111" s="25"/>
    </row>
    <row r="112" customFormat="false" ht="14.25" hidden="false" customHeight="false" outlineLevel="0" collapsed="false">
      <c r="A112" s="20"/>
      <c r="B112" s="21"/>
      <c r="C112" s="25"/>
    </row>
    <row r="113" customFormat="false" ht="14.25" hidden="false" customHeight="false" outlineLevel="0" collapsed="false">
      <c r="A113" s="20"/>
      <c r="B113" s="21"/>
      <c r="C113" s="25"/>
    </row>
    <row r="114" customFormat="false" ht="14.25" hidden="false" customHeight="false" outlineLevel="0" collapsed="false">
      <c r="A114" s="20"/>
      <c r="B114" s="21"/>
      <c r="C114" s="25"/>
    </row>
    <row r="115" customFormat="false" ht="14.25" hidden="false" customHeight="false" outlineLevel="0" collapsed="false">
      <c r="A115" s="20"/>
      <c r="B115" s="21"/>
      <c r="C115" s="25"/>
    </row>
    <row r="116" customFormat="false" ht="14.25" hidden="false" customHeight="false" outlineLevel="0" collapsed="false">
      <c r="A116" s="20"/>
      <c r="B116" s="20"/>
      <c r="C116" s="25"/>
    </row>
    <row r="117" customFormat="false" ht="14.25" hidden="false" customHeight="false" outlineLevel="0" collapsed="false">
      <c r="A117" s="20"/>
      <c r="B117" s="20"/>
      <c r="C117" s="25"/>
    </row>
    <row r="118" customFormat="false" ht="14.25" hidden="false" customHeight="false" outlineLevel="0" collapsed="false">
      <c r="A118" s="20"/>
      <c r="B118" s="20"/>
      <c r="C118" s="25"/>
    </row>
    <row r="119" customFormat="false" ht="14.25" hidden="false" customHeight="false" outlineLevel="0" collapsed="false">
      <c r="A119" s="20"/>
      <c r="B119" s="20"/>
      <c r="C119" s="25"/>
    </row>
    <row r="120" customFormat="false" ht="14.25" hidden="false" customHeight="false" outlineLevel="0" collapsed="false">
      <c r="A120" s="20"/>
      <c r="B120" s="20"/>
      <c r="C120" s="25"/>
    </row>
    <row r="121" customFormat="false" ht="14.25" hidden="false" customHeight="false" outlineLevel="0" collapsed="false">
      <c r="A121" s="20"/>
      <c r="B121" s="20"/>
      <c r="C121" s="25"/>
    </row>
    <row r="122" customFormat="false" ht="14.25" hidden="false" customHeight="false" outlineLevel="0" collapsed="false">
      <c r="A122" s="20"/>
      <c r="B122" s="20"/>
      <c r="C122" s="25"/>
    </row>
    <row r="123" customFormat="false" ht="14.25" hidden="false" customHeight="false" outlineLevel="0" collapsed="false">
      <c r="A123" s="20"/>
      <c r="B123" s="20"/>
      <c r="C123" s="25"/>
    </row>
    <row r="124" customFormat="false" ht="14.25" hidden="false" customHeight="false" outlineLevel="0" collapsed="false">
      <c r="A124" s="20"/>
      <c r="B124" s="20"/>
      <c r="C124" s="25"/>
    </row>
    <row r="125" customFormat="false" ht="14.25" hidden="false" customHeight="false" outlineLevel="0" collapsed="false">
      <c r="A125" s="20"/>
      <c r="B125" s="20"/>
      <c r="C125" s="25"/>
    </row>
    <row r="126" customFormat="false" ht="14.25" hidden="false" customHeight="false" outlineLevel="0" collapsed="false">
      <c r="A126" s="20"/>
      <c r="B126" s="20"/>
      <c r="C126" s="25"/>
    </row>
    <row r="127" customFormat="false" ht="14.25" hidden="false" customHeight="false" outlineLevel="0" collapsed="false">
      <c r="A127" s="20"/>
      <c r="B127" s="20"/>
      <c r="C127" s="25"/>
    </row>
  </sheetData>
  <mergeCells count="2">
    <mergeCell ref="A4:B4"/>
    <mergeCell ref="E4:F4"/>
  </mergeCells>
  <dataValidations count="4">
    <dataValidation allowBlank="true" errorStyle="stop" operator="between" showDropDown="false" showErrorMessage="true" showInputMessage="true" sqref="B1:C1" type="list">
      <formula1>$A$2:$A$3</formula1>
      <formula2>0</formula2>
    </dataValidation>
    <dataValidation allowBlank="true" errorStyle="stop" operator="between" showDropDown="false" showErrorMessage="true" showInputMessage="true" sqref="C22:C27" type="list">
      <formula1>CriterioBasadoClasesAnalisis!$C$3:$C$5</formula1>
      <formula2>0</formula2>
    </dataValidation>
    <dataValidation allowBlank="false" errorStyle="stop" operator="between" showDropDown="false" showErrorMessage="true" showInputMessage="true" sqref="B6:B115" type="list">
      <formula1>CriterioBasadoClasesAnalisis!$C$16:$C$18</formula1>
      <formula2>0</formula2>
    </dataValidation>
    <dataValidation allowBlank="false" errorStyle="stop" operator="between" showDropDown="false" showErrorMessage="true" showInputMessage="true" sqref="F6:F25" type="list">
      <formula1>CriterioBasadoClasesAnalisis!$C$3:$C$5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C1" colorId="64" zoomScale="120" zoomScaleNormal="120" zoomScalePageLayoutView="100" workbookViewId="0">
      <selection pane="topLeft" activeCell="C9" activeCellId="0" sqref="C9"/>
    </sheetView>
  </sheetViews>
  <sheetFormatPr defaultColWidth="9.109375" defaultRowHeight="14.25" customHeight="false" zeroHeight="false" outlineLevelRow="0" outlineLevelCol="0"/>
  <cols>
    <col collapsed="false" customWidth="true" hidden="false" outlineLevel="0" max="2" min="2" style="0" width="57.88"/>
    <col collapsed="false" customWidth="true" hidden="false" outlineLevel="0" max="5" min="4" style="0" width="9.88"/>
    <col collapsed="false" customWidth="true" hidden="false" outlineLevel="0" max="7" min="7" style="0" width="14.88"/>
    <col collapsed="false" customWidth="true" hidden="false" outlineLevel="0" max="8" min="8" style="0" width="15.66"/>
    <col collapsed="false" customWidth="true" hidden="false" outlineLevel="0" max="9" min="9" style="0" width="22.33"/>
    <col collapsed="false" customWidth="true" hidden="false" outlineLevel="0" max="10" min="10" style="26" width="8.34"/>
  </cols>
  <sheetData>
    <row r="1" customFormat="false" ht="14.25" hidden="false" customHeight="true" outlineLevel="0" collapsed="false">
      <c r="A1" s="27" t="s">
        <v>40</v>
      </c>
      <c r="B1" s="27"/>
      <c r="C1" s="27"/>
      <c r="D1" s="28" t="n">
        <f aca="false">0.6+(0.01*SUM(E3:E15))</f>
        <v>0.755</v>
      </c>
      <c r="I1" s="29" t="s">
        <v>41</v>
      </c>
      <c r="J1" s="29"/>
    </row>
    <row r="2" customFormat="false" ht="14.25" hidden="false" customHeight="false" outlineLevel="0" collapsed="false">
      <c r="A2" s="30" t="s">
        <v>42</v>
      </c>
      <c r="B2" s="30" t="s">
        <v>13</v>
      </c>
      <c r="C2" s="30" t="s">
        <v>43</v>
      </c>
      <c r="D2" s="31" t="s">
        <v>44</v>
      </c>
      <c r="E2" s="30" t="s">
        <v>45</v>
      </c>
      <c r="F2" s="32"/>
      <c r="I2" s="29"/>
      <c r="J2" s="29"/>
    </row>
    <row r="3" customFormat="false" ht="14.25" hidden="false" customHeight="false" outlineLevel="0" collapsed="false">
      <c r="A3" s="3" t="s">
        <v>46</v>
      </c>
      <c r="B3" s="3" t="s">
        <v>47</v>
      </c>
      <c r="C3" s="33" t="n">
        <v>2</v>
      </c>
      <c r="D3" s="34" t="n">
        <v>0</v>
      </c>
      <c r="E3" s="3" t="n">
        <f aca="false">C3*D3</f>
        <v>0</v>
      </c>
      <c r="F3" s="35"/>
      <c r="I3" s="36" t="s">
        <v>13</v>
      </c>
      <c r="J3" s="37" t="s">
        <v>48</v>
      </c>
    </row>
    <row r="4" customFormat="false" ht="29.25" hidden="false" customHeight="true" outlineLevel="0" collapsed="false">
      <c r="A4" s="38" t="s">
        <v>49</v>
      </c>
      <c r="B4" s="3" t="s">
        <v>50</v>
      </c>
      <c r="C4" s="33" t="n">
        <v>1</v>
      </c>
      <c r="D4" s="34" t="n">
        <v>3</v>
      </c>
      <c r="E4" s="3" t="n">
        <f aca="false">C4*D4</f>
        <v>3</v>
      </c>
      <c r="F4" s="35"/>
      <c r="I4" s="3" t="s">
        <v>51</v>
      </c>
      <c r="J4" s="39" t="s">
        <v>52</v>
      </c>
    </row>
    <row r="5" customFormat="false" ht="14.25" hidden="false" customHeight="false" outlineLevel="0" collapsed="false">
      <c r="A5" s="3" t="s">
        <v>53</v>
      </c>
      <c r="B5" s="3" t="s">
        <v>54</v>
      </c>
      <c r="C5" s="33" t="n">
        <v>1</v>
      </c>
      <c r="D5" s="34" t="n">
        <v>4</v>
      </c>
      <c r="E5" s="3" t="n">
        <f aca="false">C5*D5</f>
        <v>4</v>
      </c>
      <c r="F5" s="35"/>
      <c r="I5" s="3" t="s">
        <v>6</v>
      </c>
      <c r="J5" s="39" t="s">
        <v>55</v>
      </c>
    </row>
    <row r="6" customFormat="false" ht="14.25" hidden="false" customHeight="false" outlineLevel="0" collapsed="false">
      <c r="A6" s="3" t="s">
        <v>56</v>
      </c>
      <c r="B6" s="3" t="s">
        <v>57</v>
      </c>
      <c r="C6" s="33" t="n">
        <v>1</v>
      </c>
      <c r="D6" s="34" t="n">
        <v>0</v>
      </c>
      <c r="E6" s="3" t="n">
        <f aca="false">C6*D6</f>
        <v>0</v>
      </c>
      <c r="F6" s="35"/>
      <c r="I6" s="3" t="s">
        <v>58</v>
      </c>
      <c r="J6" s="39" t="n">
        <v>5</v>
      </c>
    </row>
    <row r="7" customFormat="false" ht="14.25" hidden="false" customHeight="false" outlineLevel="0" collapsed="false">
      <c r="A7" s="3" t="s">
        <v>59</v>
      </c>
      <c r="B7" s="3" t="s">
        <v>60</v>
      </c>
      <c r="C7" s="33" t="n">
        <v>1</v>
      </c>
      <c r="D7" s="34" t="n">
        <v>2</v>
      </c>
      <c r="E7" s="3" t="n">
        <f aca="false">C7*D7</f>
        <v>2</v>
      </c>
      <c r="F7" s="35"/>
    </row>
    <row r="8" customFormat="false" ht="14.25" hidden="false" customHeight="false" outlineLevel="0" collapsed="false">
      <c r="A8" s="3" t="s">
        <v>61</v>
      </c>
      <c r="B8" s="3" t="s">
        <v>62</v>
      </c>
      <c r="C8" s="33" t="n">
        <v>0.5</v>
      </c>
      <c r="D8" s="34" t="n">
        <v>3</v>
      </c>
      <c r="E8" s="3" t="n">
        <f aca="false">C8*D8</f>
        <v>1.5</v>
      </c>
      <c r="F8" s="35"/>
    </row>
    <row r="9" customFormat="false" ht="14.25" hidden="false" customHeight="false" outlineLevel="0" collapsed="false">
      <c r="A9" s="3" t="s">
        <v>63</v>
      </c>
      <c r="B9" s="3" t="s">
        <v>64</v>
      </c>
      <c r="C9" s="33" t="n">
        <v>0.5</v>
      </c>
      <c r="D9" s="34" t="n">
        <v>0</v>
      </c>
      <c r="E9" s="3" t="n">
        <f aca="false">C9*D9</f>
        <v>0</v>
      </c>
      <c r="F9" s="35"/>
    </row>
    <row r="10" customFormat="false" ht="14.25" hidden="false" customHeight="false" outlineLevel="0" collapsed="false">
      <c r="A10" s="3" t="s">
        <v>65</v>
      </c>
      <c r="B10" s="3" t="s">
        <v>66</v>
      </c>
      <c r="C10" s="33" t="n">
        <v>2</v>
      </c>
      <c r="D10" s="34" t="n">
        <v>0</v>
      </c>
      <c r="E10" s="3" t="n">
        <f aca="false">C10*D10</f>
        <v>0</v>
      </c>
      <c r="F10" s="35"/>
    </row>
    <row r="11" customFormat="false" ht="14.25" hidden="false" customHeight="false" outlineLevel="0" collapsed="false">
      <c r="A11" s="3" t="s">
        <v>67</v>
      </c>
      <c r="B11" s="3" t="s">
        <v>68</v>
      </c>
      <c r="C11" s="33" t="n">
        <v>1</v>
      </c>
      <c r="D11" s="34" t="n">
        <v>1</v>
      </c>
      <c r="E11" s="3" t="n">
        <f aca="false">C11*D11</f>
        <v>1</v>
      </c>
      <c r="F11" s="35"/>
    </row>
    <row r="12" customFormat="false" ht="14.25" hidden="false" customHeight="false" outlineLevel="0" collapsed="false">
      <c r="A12" s="3" t="s">
        <v>69</v>
      </c>
      <c r="B12" s="3" t="s">
        <v>70</v>
      </c>
      <c r="C12" s="33" t="n">
        <v>1</v>
      </c>
      <c r="D12" s="34" t="n">
        <v>3</v>
      </c>
      <c r="E12" s="3" t="n">
        <f aca="false">C12*D12</f>
        <v>3</v>
      </c>
      <c r="F12" s="35"/>
    </row>
    <row r="13" customFormat="false" ht="14.25" hidden="false" customHeight="false" outlineLevel="0" collapsed="false">
      <c r="A13" s="3" t="s">
        <v>71</v>
      </c>
      <c r="B13" s="3" t="s">
        <v>72</v>
      </c>
      <c r="C13" s="33" t="n">
        <v>1</v>
      </c>
      <c r="D13" s="34" t="n">
        <v>1</v>
      </c>
      <c r="E13" s="3" t="n">
        <f aca="false">C13*D13</f>
        <v>1</v>
      </c>
      <c r="F13" s="35"/>
    </row>
    <row r="14" customFormat="false" ht="14.25" hidden="false" customHeight="false" outlineLevel="0" collapsed="false">
      <c r="A14" s="3" t="s">
        <v>73</v>
      </c>
      <c r="B14" s="3" t="s">
        <v>74</v>
      </c>
      <c r="C14" s="33" t="n">
        <v>1</v>
      </c>
      <c r="D14" s="34" t="n">
        <v>0</v>
      </c>
      <c r="E14" s="3" t="n">
        <f aca="false">C14*D14</f>
        <v>0</v>
      </c>
      <c r="F14" s="35"/>
    </row>
    <row r="15" customFormat="false" ht="14.25" hidden="false" customHeight="false" outlineLevel="0" collapsed="false">
      <c r="A15" s="3" t="s">
        <v>75</v>
      </c>
      <c r="B15" s="3" t="s">
        <v>76</v>
      </c>
      <c r="C15" s="33" t="n">
        <v>1</v>
      </c>
      <c r="D15" s="34" t="n">
        <v>0</v>
      </c>
      <c r="E15" s="3" t="n">
        <f aca="false">C15*D15</f>
        <v>0</v>
      </c>
      <c r="F15" s="35"/>
    </row>
    <row r="16" customFormat="false" ht="17.25" hidden="false" customHeight="true" outlineLevel="0" collapsed="false">
      <c r="A16" s="40" t="s">
        <v>77</v>
      </c>
      <c r="B16" s="40"/>
      <c r="C16" s="40"/>
      <c r="D16" s="28" t="n">
        <f aca="false">1.4-(0.03*SUM(E18:E25))</f>
        <v>0.575</v>
      </c>
      <c r="G16" s="40" t="s">
        <v>78</v>
      </c>
      <c r="H16" s="40"/>
      <c r="I16" s="40"/>
      <c r="J16" s="41" t="n">
        <f aca="false">'PCU-Ajustado'!C3*IF(I20&lt;=2,20,IF(AND(I20&gt;2,I20&lt;=4),28,36))</f>
        <v>269.1575</v>
      </c>
    </row>
    <row r="17" customFormat="false" ht="14.25" hidden="false" customHeight="false" outlineLevel="0" collapsed="false">
      <c r="A17" s="42" t="s">
        <v>3</v>
      </c>
      <c r="B17" s="42" t="s">
        <v>13</v>
      </c>
      <c r="C17" s="42" t="s">
        <v>43</v>
      </c>
      <c r="D17" s="43" t="s">
        <v>44</v>
      </c>
      <c r="E17" s="42" t="s">
        <v>45</v>
      </c>
      <c r="F17" s="44"/>
      <c r="G17" s="44" t="s">
        <v>3</v>
      </c>
      <c r="H17" s="44" t="s">
        <v>79</v>
      </c>
      <c r="I17" s="44" t="s">
        <v>80</v>
      </c>
    </row>
    <row r="18" customFormat="false" ht="14.25" hidden="false" customHeight="false" outlineLevel="0" collapsed="false">
      <c r="A18" s="3" t="s">
        <v>81</v>
      </c>
      <c r="B18" s="3" t="s">
        <v>82</v>
      </c>
      <c r="C18" s="33" t="n">
        <v>1.5</v>
      </c>
      <c r="D18" s="34" t="n">
        <v>5</v>
      </c>
      <c r="E18" s="3" t="n">
        <f aca="false">C18*D18</f>
        <v>7.5</v>
      </c>
      <c r="G18" s="0" t="s">
        <v>83</v>
      </c>
      <c r="H18" s="0" t="s">
        <v>84</v>
      </c>
      <c r="I18" s="0" t="n">
        <f aca="false">COUNTIF(D18:D23,"&lt;3")</f>
        <v>1</v>
      </c>
    </row>
    <row r="19" customFormat="false" ht="14.25" hidden="false" customHeight="false" outlineLevel="0" collapsed="false">
      <c r="A19" s="3" t="s">
        <v>85</v>
      </c>
      <c r="B19" s="3" t="s">
        <v>86</v>
      </c>
      <c r="C19" s="33" t="n">
        <v>0.5</v>
      </c>
      <c r="D19" s="34" t="n">
        <v>5</v>
      </c>
      <c r="E19" s="3" t="n">
        <f aca="false">C19*D19</f>
        <v>2.5</v>
      </c>
      <c r="G19" s="0" t="s">
        <v>87</v>
      </c>
      <c r="H19" s="0" t="s">
        <v>88</v>
      </c>
      <c r="I19" s="0" t="n">
        <f aca="false">COUNTIF(D24:D25,"&gt;3")</f>
        <v>0</v>
      </c>
    </row>
    <row r="20" customFormat="false" ht="14.25" hidden="false" customHeight="false" outlineLevel="0" collapsed="false">
      <c r="A20" s="3" t="s">
        <v>89</v>
      </c>
      <c r="B20" s="3" t="s">
        <v>90</v>
      </c>
      <c r="C20" s="33" t="n">
        <v>1</v>
      </c>
      <c r="D20" s="34" t="n">
        <v>5</v>
      </c>
      <c r="E20" s="3" t="n">
        <f aca="false">C20*D20</f>
        <v>5</v>
      </c>
      <c r="H20" s="45" t="s">
        <v>80</v>
      </c>
      <c r="I20" s="45" t="n">
        <f aca="false">SUM(I18:I19)</f>
        <v>1</v>
      </c>
    </row>
    <row r="21" customFormat="false" ht="14.25" hidden="false" customHeight="false" outlineLevel="0" collapsed="false">
      <c r="A21" s="3" t="s">
        <v>91</v>
      </c>
      <c r="B21" s="3" t="s">
        <v>92</v>
      </c>
      <c r="C21" s="33" t="n">
        <v>0.5</v>
      </c>
      <c r="D21" s="34" t="n">
        <v>5</v>
      </c>
      <c r="E21" s="3" t="n">
        <f aca="false">C21*D21</f>
        <v>2.5</v>
      </c>
      <c r="G21" s="46" t="s">
        <v>93</v>
      </c>
      <c r="H21" s="46"/>
      <c r="I21" s="46"/>
    </row>
    <row r="22" customFormat="false" ht="14.25" hidden="false" customHeight="false" outlineLevel="0" collapsed="false">
      <c r="A22" s="3" t="s">
        <v>94</v>
      </c>
      <c r="B22" s="3" t="s">
        <v>95</v>
      </c>
      <c r="C22" s="33" t="n">
        <v>1</v>
      </c>
      <c r="D22" s="34" t="n">
        <v>2</v>
      </c>
      <c r="E22" s="3" t="n">
        <f aca="false">C22*D22</f>
        <v>2</v>
      </c>
      <c r="G22" s="47" t="s">
        <v>96</v>
      </c>
      <c r="H22" s="47" t="s">
        <v>2</v>
      </c>
    </row>
    <row r="23" customFormat="false" ht="14.25" hidden="false" customHeight="false" outlineLevel="0" collapsed="false">
      <c r="A23" s="3" t="s">
        <v>97</v>
      </c>
      <c r="B23" s="3" t="s">
        <v>98</v>
      </c>
      <c r="C23" s="33" t="n">
        <v>2</v>
      </c>
      <c r="D23" s="34" t="n">
        <v>4</v>
      </c>
      <c r="E23" s="3" t="n">
        <f aca="false">C23*D23</f>
        <v>8</v>
      </c>
      <c r="G23" s="39" t="n">
        <v>20</v>
      </c>
      <c r="H23" s="39" t="s">
        <v>99</v>
      </c>
    </row>
    <row r="24" customFormat="false" ht="14.25" hidden="false" customHeight="false" outlineLevel="0" collapsed="false">
      <c r="A24" s="3" t="s">
        <v>100</v>
      </c>
      <c r="B24" s="3" t="s">
        <v>101</v>
      </c>
      <c r="C24" s="33" t="n">
        <v>-1</v>
      </c>
      <c r="D24" s="34" t="n">
        <v>0</v>
      </c>
      <c r="E24" s="3" t="n">
        <f aca="false">C24*D24</f>
        <v>-0</v>
      </c>
      <c r="G24" s="39" t="n">
        <v>28</v>
      </c>
      <c r="H24" s="39" t="s">
        <v>102</v>
      </c>
    </row>
    <row r="25" customFormat="false" ht="14.25" hidden="false" customHeight="false" outlineLevel="0" collapsed="false">
      <c r="A25" s="3" t="s">
        <v>103</v>
      </c>
      <c r="B25" s="3" t="s">
        <v>104</v>
      </c>
      <c r="C25" s="33" t="n">
        <v>-1</v>
      </c>
      <c r="D25" s="34" t="n">
        <v>0</v>
      </c>
      <c r="E25" s="3" t="n">
        <f aca="false">C25*D25</f>
        <v>-0</v>
      </c>
      <c r="G25" s="39" t="n">
        <v>36</v>
      </c>
      <c r="H25" s="39" t="s">
        <v>105</v>
      </c>
    </row>
    <row r="27" customFormat="false" ht="14.25" hidden="false" customHeight="false" outlineLevel="0" collapsed="false">
      <c r="D27" s="48" t="n">
        <v>1</v>
      </c>
      <c r="E27" s="0" t="s">
        <v>106</v>
      </c>
    </row>
    <row r="28" customFormat="false" ht="14.25" hidden="false" customHeight="false" outlineLevel="0" collapsed="false">
      <c r="D28" s="49" t="n">
        <v>3</v>
      </c>
      <c r="E28" s="0" t="s">
        <v>107</v>
      </c>
    </row>
    <row r="29" customFormat="false" ht="14.25" hidden="false" customHeight="false" outlineLevel="0" collapsed="false">
      <c r="D29" s="49" t="n">
        <v>5</v>
      </c>
      <c r="E29" s="0" t="s">
        <v>108</v>
      </c>
    </row>
  </sheetData>
  <mergeCells count="5">
    <mergeCell ref="A1:C1"/>
    <mergeCell ref="I1:J2"/>
    <mergeCell ref="A16:C16"/>
    <mergeCell ref="G16:I16"/>
    <mergeCell ref="G21:I21"/>
  </mergeCells>
  <dataValidations count="1">
    <dataValidation allowBlank="false" errorStyle="stop" operator="between" showDropDown="false" showErrorMessage="true" showInputMessage="true" sqref="D3:D15 D18:D25" type="list">
      <formula1>"0,1,2,3,4,5"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3" activeCellId="0" sqref="C3"/>
    </sheetView>
  </sheetViews>
  <sheetFormatPr defaultColWidth="10.6796875" defaultRowHeight="14.25" customHeight="false" zeroHeight="false" outlineLevelRow="0" outlineLevelCol="0"/>
  <sheetData>
    <row r="1" customFormat="false" ht="71.25" hidden="false" customHeight="true" outlineLevel="0" collapsed="false">
      <c r="A1" s="50" t="s">
        <v>109</v>
      </c>
      <c r="B1" s="50"/>
      <c r="C1" s="50"/>
      <c r="D1" s="50"/>
      <c r="E1" s="50"/>
      <c r="F1" s="50"/>
    </row>
    <row r="3" customFormat="false" ht="19.7" hidden="false" customHeight="false" outlineLevel="0" collapsed="false">
      <c r="C3" s="51" t="n">
        <f aca="false">'PCU-sinAjustar'!B3*Factores!D1*Factores!D16</f>
        <v>13.457875</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7:I1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19" activeCellId="0" sqref="D19"/>
    </sheetView>
  </sheetViews>
  <sheetFormatPr defaultColWidth="10.6796875" defaultRowHeight="14.25" customHeight="false" zeroHeight="false" outlineLevelRow="0" outlineLevelCol="0"/>
  <cols>
    <col collapsed="false" customWidth="true" hidden="false" outlineLevel="0" max="2" min="2" style="0" width="28"/>
    <col collapsed="false" customWidth="true" hidden="false" outlineLevel="0" max="3" min="3" style="0" width="12.33"/>
    <col collapsed="false" customWidth="true" hidden="false" outlineLevel="0" max="4" min="4" style="0" width="31.88"/>
    <col collapsed="false" customWidth="true" hidden="false" outlineLevel="0" max="5" min="5" style="0" width="29.88"/>
  </cols>
  <sheetData>
    <row r="7" customFormat="false" ht="14.25" hidden="false" customHeight="false" outlineLevel="0" collapsed="false">
      <c r="A7" s="52" t="s">
        <v>110</v>
      </c>
      <c r="B7" s="52"/>
      <c r="C7" s="52"/>
      <c r="D7" s="52"/>
      <c r="E7" s="52"/>
      <c r="F7" s="52"/>
      <c r="G7" s="52"/>
      <c r="H7" s="52"/>
      <c r="I7" s="52"/>
    </row>
    <row r="9" customFormat="false" ht="14.25" hidden="false" customHeight="false" outlineLevel="0" collapsed="false">
      <c r="B9" s="53" t="s">
        <v>111</v>
      </c>
      <c r="C9" s="53" t="s">
        <v>112</v>
      </c>
      <c r="D9" s="53" t="s">
        <v>113</v>
      </c>
      <c r="E9" s="53" t="s">
        <v>114</v>
      </c>
    </row>
    <row r="10" customFormat="false" ht="14.25" hidden="false" customHeight="false" outlineLevel="0" collapsed="false">
      <c r="B10" s="3" t="s">
        <v>115</v>
      </c>
      <c r="C10" s="3" t="n">
        <v>15</v>
      </c>
      <c r="D10" s="3" t="n">
        <f aca="false">($C$10*$D$15)/100</f>
        <v>100.9340625</v>
      </c>
      <c r="E10" s="3" t="n">
        <f aca="false">$D$10/8</f>
        <v>12.6167578125</v>
      </c>
    </row>
    <row r="11" customFormat="false" ht="14.25" hidden="false" customHeight="false" outlineLevel="0" collapsed="false">
      <c r="B11" s="3" t="s">
        <v>116</v>
      </c>
      <c r="C11" s="3" t="n">
        <v>20</v>
      </c>
      <c r="D11" s="3" t="n">
        <f aca="false">($C$11*$D$15)/100</f>
        <v>134.57875</v>
      </c>
      <c r="E11" s="3" t="n">
        <f aca="false">$D$11/8</f>
        <v>16.82234375</v>
      </c>
    </row>
    <row r="12" customFormat="false" ht="14.25" hidden="false" customHeight="false" outlineLevel="0" collapsed="false">
      <c r="B12" s="54" t="s">
        <v>117</v>
      </c>
      <c r="C12" s="55" t="n">
        <v>40</v>
      </c>
      <c r="D12" s="53" t="n">
        <f aca="false">Factores!$J$16</f>
        <v>269.1575</v>
      </c>
      <c r="E12" s="54" t="n">
        <f aca="false">$D$12/8</f>
        <v>33.6446875</v>
      </c>
    </row>
    <row r="13" customFormat="false" ht="14.25" hidden="false" customHeight="false" outlineLevel="0" collapsed="false">
      <c r="B13" s="3" t="s">
        <v>118</v>
      </c>
      <c r="C13" s="3" t="n">
        <v>20</v>
      </c>
      <c r="D13" s="3" t="n">
        <f aca="false">($C$13*$D$15)/$C$15</f>
        <v>134.57875</v>
      </c>
      <c r="E13" s="3" t="n">
        <f aca="false">$D$13/8</f>
        <v>16.82234375</v>
      </c>
    </row>
    <row r="14" customFormat="false" ht="14.25" hidden="false" customHeight="false" outlineLevel="0" collapsed="false">
      <c r="B14" s="3" t="s">
        <v>119</v>
      </c>
      <c r="C14" s="3" t="n">
        <v>5</v>
      </c>
      <c r="D14" s="3" t="n">
        <f aca="false">($C$14*$D$15)/100</f>
        <v>33.6446875</v>
      </c>
      <c r="E14" s="3" t="n">
        <f aca="false">$D$14/8</f>
        <v>4.2055859375</v>
      </c>
    </row>
    <row r="15" customFormat="false" ht="14.25" hidden="false" customHeight="false" outlineLevel="0" collapsed="false">
      <c r="B15" s="53" t="s">
        <v>80</v>
      </c>
      <c r="C15" s="56" t="n">
        <f aca="false">SUM(C10:C14)</f>
        <v>100</v>
      </c>
      <c r="D15" s="53" t="n">
        <f aca="false">($C$15*$D$12)/$C$12</f>
        <v>672.89375</v>
      </c>
      <c r="E15" s="53" t="n">
        <f aca="false">$D$15/8</f>
        <v>84.11171875</v>
      </c>
    </row>
    <row r="17" customFormat="false" ht="14.25" hidden="false" customHeight="false" outlineLevel="0" collapsed="false">
      <c r="B17" s="53" t="s">
        <v>120</v>
      </c>
      <c r="E17" s="53" t="s">
        <v>121</v>
      </c>
    </row>
    <row r="18" customFormat="false" ht="14.25" hidden="false" customHeight="false" outlineLevel="0" collapsed="false">
      <c r="B18" s="28" t="s">
        <v>122</v>
      </c>
      <c r="C18" s="28" t="n">
        <f aca="false">$D$15/8</f>
        <v>84.11171875</v>
      </c>
      <c r="E18" s="28" t="s">
        <v>122</v>
      </c>
      <c r="F18" s="28" t="n">
        <f aca="false">$D$12/8</f>
        <v>33.6446875</v>
      </c>
    </row>
    <row r="19" customFormat="false" ht="14.25" hidden="false" customHeight="false" outlineLevel="0" collapsed="false">
      <c r="B19" s="28" t="s">
        <v>123</v>
      </c>
      <c r="C19" s="28" t="n">
        <f aca="false">$C$18/20</f>
        <v>4.2055859375</v>
      </c>
      <c r="E19" s="28" t="s">
        <v>123</v>
      </c>
      <c r="F19" s="28" t="n">
        <f aca="false">$F$18/20</f>
        <v>1.682234375</v>
      </c>
    </row>
  </sheetData>
  <mergeCells count="1">
    <mergeCell ref="A7:I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A7788BB74144C4E82456A165D5E80F7" ma:contentTypeVersion="3" ma:contentTypeDescription="Crear nuevo documento." ma:contentTypeScope="" ma:versionID="7772c62673c76dec0fd7ef0f43887fbf">
  <xsd:schema xmlns:xsd="http://www.w3.org/2001/XMLSchema" xmlns:xs="http://www.w3.org/2001/XMLSchema" xmlns:p="http://schemas.microsoft.com/office/2006/metadata/properties" xmlns:ns2="3d2ce1d5-7ded-494d-8056-a72947510cdc" targetNamespace="http://schemas.microsoft.com/office/2006/metadata/properties" ma:root="true" ma:fieldsID="0be6594385353ac4d007136a77b2394c" ns2:_="">
    <xsd:import namespace="3d2ce1d5-7ded-494d-8056-a72947510c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2ce1d5-7ded-494d-8056-a72947510c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6944D40-E467-4DD6-A6FD-F67719449E45}"/>
</file>

<file path=customXml/itemProps2.xml><?xml version="1.0" encoding="utf-8"?>
<ds:datastoreItem xmlns:ds="http://schemas.openxmlformats.org/officeDocument/2006/customXml" ds:itemID="{3E870085-97B1-4845-98E4-5F19617852C4}"/>
</file>

<file path=customXml/itemProps3.xml><?xml version="1.0" encoding="utf-8"?>
<ds:datastoreItem xmlns:ds="http://schemas.openxmlformats.org/officeDocument/2006/customXml" ds:itemID="{571C618A-9AA5-41F0-BCB6-0824507B8960}"/>
</file>

<file path=docProps/app.xml><?xml version="1.0" encoding="utf-8"?>
<Properties xmlns="http://schemas.openxmlformats.org/officeDocument/2006/extended-properties" xmlns:vt="http://schemas.openxmlformats.org/officeDocument/2006/docPropsVTypes">
  <Template/>
  <TotalTime>5</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en-US</dc:language>
  <cp:lastModifiedBy/>
  <dcterms:modified xsi:type="dcterms:W3CDTF">2026-05-06T18:06:42Z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0x010100EA7788BB74144C4E82456A165D5E80F7</vt:lpwstr>
  </property>
</Properties>
</file>