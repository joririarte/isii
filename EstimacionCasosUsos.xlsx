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mora\Documents\UBP\IS-2\2026\isii\"/>
    </mc:Choice>
  </mc:AlternateContent>
  <xr:revisionPtr revIDLastSave="0" documentId="13_ncr:1_{C37D0B83-F302-457B-9F93-2BFD30B81C7D}" xr6:coauthVersionLast="47" xr6:coauthVersionMax="47" xr10:uidLastSave="{00000000-0000-0000-0000-000000000000}"/>
  <bookViews>
    <workbookView xWindow="-120" yWindow="-120" windowWidth="29040" windowHeight="15720" tabRatio="500" firstSheet="2" activeTab="2" xr2:uid="{00000000-000D-0000-FFFF-FFFF00000000}"/>
  </bookViews>
  <sheets>
    <sheet name="CriterioBasadoClasesAnalisis" sheetId="1" r:id="rId1"/>
    <sheet name="PCU-sinAjustar" sheetId="2" r:id="rId2"/>
    <sheet name="Factores" sheetId="3" r:id="rId3"/>
    <sheet name="PCU-Ajustado" sheetId="4" r:id="rId4"/>
    <sheet name="RESULTADO" sheetId="5" r:id="rId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9" i="2" l="1"/>
  <c r="C10" i="2"/>
  <c r="C15" i="5"/>
  <c r="E25" i="3"/>
  <c r="E24" i="3"/>
  <c r="E23" i="3"/>
  <c r="E22" i="3"/>
  <c r="E21" i="3"/>
  <c r="E20" i="3"/>
  <c r="I19" i="3"/>
  <c r="E19" i="3"/>
  <c r="I18" i="3"/>
  <c r="E18" i="3"/>
  <c r="D16" i="3"/>
  <c r="E15" i="3"/>
  <c r="E14" i="3"/>
  <c r="E13" i="3"/>
  <c r="E12" i="3"/>
  <c r="E11" i="3"/>
  <c r="E10" i="3"/>
  <c r="E9" i="3"/>
  <c r="E8" i="3"/>
  <c r="E7" i="3"/>
  <c r="E6" i="3"/>
  <c r="E5" i="3"/>
  <c r="E4" i="3"/>
  <c r="E3" i="3"/>
  <c r="D1" i="3"/>
  <c r="F30" i="2"/>
  <c r="F31" i="2" s="1"/>
  <c r="F28" i="2"/>
  <c r="F29" i="2" s="1"/>
  <c r="F26" i="2"/>
  <c r="F27" i="2" s="1"/>
  <c r="C12" i="2"/>
  <c r="C13" i="2" s="1"/>
  <c r="C6" i="2"/>
  <c r="C7" i="2" s="1"/>
  <c r="G4" i="2"/>
  <c r="C4" i="2"/>
  <c r="B3" i="2"/>
  <c r="I20" i="3" l="1"/>
  <c r="C3" i="4"/>
  <c r="J16" i="3" s="1"/>
  <c r="D12" i="5" s="1"/>
  <c r="F24" i="5" s="1"/>
  <c r="D15" i="5" l="1"/>
  <c r="E12" i="5"/>
  <c r="F18" i="5"/>
  <c r="C24" i="5"/>
  <c r="D10" i="5"/>
  <c r="F19" i="5"/>
  <c r="F25" i="5"/>
  <c r="C18" i="5"/>
  <c r="E15" i="5"/>
  <c r="D14" i="5"/>
  <c r="E14" i="5" s="1"/>
  <c r="D13" i="5"/>
  <c r="E13" i="5" s="1"/>
  <c r="D11" i="5"/>
  <c r="E11" i="5" s="1"/>
  <c r="E10" i="5"/>
  <c r="C19" i="5" l="1"/>
  <c r="C2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6" authorId="0" shapeId="0" xr:uid="{00000000-0006-0000-0200-000001000000}">
      <text>
        <r>
          <rPr>
            <sz val="10"/>
            <rFont val="Arial"/>
            <family val="2"/>
          </rPr>
          <t xml:space="preserve">Autor:
</t>
        </r>
        <r>
          <rPr>
            <sz val="9"/>
            <color rgb="FF000000"/>
            <rFont val="Tahoma"/>
            <family val="2"/>
            <charset val="1"/>
          </rPr>
          <t xml:space="preserve">Este cálculo se realiza con el fin de tener una aproximación del esfuerzo, pensando solo en el desarrollo según las funcionalidades de los casos de uso. Anteriormente, se sugería utilizar 20 horas persona por UCP, pero a través del tiempo se ha ido mejorando. Está basado en los factores ambientales y se calcula de la siguiente manera:
Primero se debe contar la cantidad de factores ambientales del E1 al E6 que tienen una puntuación menor a 3, también contar la cantidad de estos mismos del E7 y E8 que son mayores que 3.
E=UCP * Horas/hombre
</t>
        </r>
      </text>
    </comment>
  </commentList>
</comments>
</file>

<file path=xl/sharedStrings.xml><?xml version="1.0" encoding="utf-8"?>
<sst xmlns="http://schemas.openxmlformats.org/spreadsheetml/2006/main" count="174" uniqueCount="142">
  <si>
    <t>Peso de los actores sin ajustar</t>
  </si>
  <si>
    <t>Tipo</t>
  </si>
  <si>
    <t>Descripcion</t>
  </si>
  <si>
    <t>Factor</t>
  </si>
  <si>
    <t>Simple</t>
  </si>
  <si>
    <t>Otro sistema que interactúa con el sistema a desarrollar mediante una interfaz de programación de aplicaciones (API).</t>
  </si>
  <si>
    <t>Medio</t>
  </si>
  <si>
    <t>Otro sistema interactuando a través de un protocolo (ej. TCP/IP, SSH, FTP) o una persona interactuando a través de una interfaz en modo texto.</t>
  </si>
  <si>
    <t>Complejo</t>
  </si>
  <si>
    <t>Una persona que interactúa con el sistema mediante una interfaz gráfica (GUI).</t>
  </si>
  <si>
    <t>Factor de peso de los casos de uso sin ajustar (UUCW)</t>
  </si>
  <si>
    <t>Basado en las transacciones (interacción entre el usuario y el sistema)</t>
  </si>
  <si>
    <t>Tipo de caso de uso</t>
  </si>
  <si>
    <t>Descripción</t>
  </si>
  <si>
    <t>3 transacciones o menos</t>
  </si>
  <si>
    <t>4 a 7 transacciones</t>
  </si>
  <si>
    <t>más de 7 transacciones</t>
  </si>
  <si>
    <t>Basado en clases de análisis (cantidad de clases que tiene un UC)</t>
  </si>
  <si>
    <t>Menos de 5 clases</t>
  </si>
  <si>
    <t>5 a 10 clases</t>
  </si>
  <si>
    <t>Más de 10 clases</t>
  </si>
  <si>
    <t>Basado en clases de análisis</t>
  </si>
  <si>
    <t xml:space="preserve">Puntos de Casos de uso sin ajustar (UUCP) =  </t>
  </si>
  <si>
    <t>UUCW: Factor de peso de los casos de uso sin ajustar</t>
  </si>
  <si>
    <t>UAW: Factor de peso de los actores 
sin ajustar</t>
  </si>
  <si>
    <t>Caso de uso</t>
  </si>
  <si>
    <t>Peso sin ajustar</t>
  </si>
  <si>
    <t>Tipo Simple = 5</t>
  </si>
  <si>
    <t>Actor</t>
  </si>
  <si>
    <t>Autenticar Usuario</t>
  </si>
  <si>
    <t>Administrador</t>
  </si>
  <si>
    <t>Gestionar Usuarios (ABMC)</t>
  </si>
  <si>
    <t>Encargado</t>
  </si>
  <si>
    <t>Gestionar Organizaciones (ABMC)</t>
  </si>
  <si>
    <t>Tipo Medio = 10</t>
  </si>
  <si>
    <t>Cajero</t>
  </si>
  <si>
    <t>Gestionar Sucursales (ABMC)</t>
  </si>
  <si>
    <t>Vendedor</t>
  </si>
  <si>
    <t>Gestionar Clientes (ABMC)</t>
  </si>
  <si>
    <t>API Validación Teléfono</t>
  </si>
  <si>
    <t>Gestionar Categorías (ABMC)</t>
  </si>
  <si>
    <t>Tipo Complejo=15</t>
  </si>
  <si>
    <t>API Validación Crédito</t>
  </si>
  <si>
    <t>Gestionar Productos (ABMC)</t>
  </si>
  <si>
    <t>Administrar Stock</t>
  </si>
  <si>
    <t>Registrar Venta</t>
  </si>
  <si>
    <t>Emitir Factura</t>
  </si>
  <si>
    <t>Emitir Nota de Crédito</t>
  </si>
  <si>
    <t>Gestionar Solicitud de Crédito</t>
  </si>
  <si>
    <t>Generar Contrato de Crédito</t>
  </si>
  <si>
    <t>Gestionar Scoring Cliente</t>
  </si>
  <si>
    <t>Generar Reporte de Ventas</t>
  </si>
  <si>
    <t>Generar Reporte de Productos</t>
  </si>
  <si>
    <t>Calcular Comisiones y Bonos</t>
  </si>
  <si>
    <t>Subtotal tipo Simple = 1</t>
  </si>
  <si>
    <t>Subtotal tipo Medio=2</t>
  </si>
  <si>
    <t>Subtotal tipo Complejo=3</t>
  </si>
  <si>
    <t>Factor de complejidad tecnica</t>
  </si>
  <si>
    <t>Escala de los factores de 
complejidad técnica (Influencia).</t>
  </si>
  <si>
    <t xml:space="preserve">Factor </t>
  </si>
  <si>
    <t>Peso</t>
  </si>
  <si>
    <t>Influencia</t>
  </si>
  <si>
    <t>Resultado</t>
  </si>
  <si>
    <t>T1</t>
  </si>
  <si>
    <t>Sistema distribuido</t>
  </si>
  <si>
    <t>Valor</t>
  </si>
  <si>
    <t>T2</t>
  </si>
  <si>
    <t>Objetivos de performance o tiempo de respuesta.</t>
  </si>
  <si>
    <t>Irrelevante</t>
  </si>
  <si>
    <t>De 0 a 2.</t>
  </si>
  <si>
    <t>T3</t>
  </si>
  <si>
    <t>Eficiencia del usuario final (facilidad con la que el usuario puede interactuar con el sistema y completar sus tareas)</t>
  </si>
  <si>
    <t>De 3 a 4.</t>
  </si>
  <si>
    <t>T4</t>
  </si>
  <si>
    <t>Procesamiento interno complejo.</t>
  </si>
  <si>
    <t>Esencial</t>
  </si>
  <si>
    <t>T5</t>
  </si>
  <si>
    <t>El código debe ser reutilizable.</t>
  </si>
  <si>
    <t>T6</t>
  </si>
  <si>
    <t>Facilidad de instalación</t>
  </si>
  <si>
    <t>T7</t>
  </si>
  <si>
    <t>Facilidad de uso – interfaz grafica</t>
  </si>
  <si>
    <t>T8</t>
  </si>
  <si>
    <t>Portabilidad</t>
  </si>
  <si>
    <t>T9</t>
  </si>
  <si>
    <t>Facilidad de cambio</t>
  </si>
  <si>
    <t>T10</t>
  </si>
  <si>
    <t>Concurrencia</t>
  </si>
  <si>
    <t>T11</t>
  </si>
  <si>
    <t>Incluye objetivos especiales de seguridad</t>
  </si>
  <si>
    <t>T12</t>
  </si>
  <si>
    <t>Provee acceso directo a terceras partes.</t>
  </si>
  <si>
    <t>T13</t>
  </si>
  <si>
    <t>Se requiere facilidades especiales de entrenamiento a usuario.</t>
  </si>
  <si>
    <t>Factores ambientales</t>
  </si>
  <si>
    <t>Esfuerzo horas-hombre (E)</t>
  </si>
  <si>
    <t>Filtro</t>
  </si>
  <si>
    <t>TOTAL</t>
  </si>
  <si>
    <t>E1</t>
  </si>
  <si>
    <t>Familiaridad con el modelo de proyecto utilizado</t>
  </si>
  <si>
    <t>E1 a E6</t>
  </si>
  <si>
    <t>menor que 3</t>
  </si>
  <si>
    <t>E2</t>
  </si>
  <si>
    <t>Experiencia en la aplicación.</t>
  </si>
  <si>
    <t>E7 y E8</t>
  </si>
  <si>
    <t>mayor que 3</t>
  </si>
  <si>
    <t>E3</t>
  </si>
  <si>
    <t>Experiencia en orientación a objetos.</t>
  </si>
  <si>
    <t>E4</t>
  </si>
  <si>
    <t>Capacidad del analista lider</t>
  </si>
  <si>
    <t>Cantidad Horas/Personas segun el valor</t>
  </si>
  <si>
    <t>E5</t>
  </si>
  <si>
    <t>Motivación</t>
  </si>
  <si>
    <t>Horas/Personas</t>
  </si>
  <si>
    <t>E6</t>
  </si>
  <si>
    <t>Estabilidad en los requerimientos</t>
  </si>
  <si>
    <t>si el valor es &lt;= 2</t>
  </si>
  <si>
    <t>E7</t>
  </si>
  <si>
    <t>Personal part-time</t>
  </si>
  <si>
    <t>si el valor es &lt;=4</t>
  </si>
  <si>
    <t>E8</t>
  </si>
  <si>
    <t>Dificultad del lenguaje de programación</t>
  </si>
  <si>
    <t>si el valor es &gt;=5</t>
  </si>
  <si>
    <t xml:space="preserve">El factor tiene un fuerte impacto negativo, </t>
  </si>
  <si>
    <t>impacto medio</t>
  </si>
  <si>
    <t>El factor tiene un fuerte impacto positivo</t>
  </si>
  <si>
    <t>AUCP: Puntos de casos de uso ajustados.</t>
  </si>
  <si>
    <t>En la siguiente tabla se detallan la distribución en porcentaje, para el esfuerzo total en el desarrollo del proyecto:</t>
  </si>
  <si>
    <t>ACTIVIDAD</t>
  </si>
  <si>
    <t>PORCENTAJE</t>
  </si>
  <si>
    <t>ESFUERZO ESTIMADO HS/HOMBRE</t>
  </si>
  <si>
    <t>Esfuerzo estimado dias/personas</t>
  </si>
  <si>
    <t>Análisis</t>
  </si>
  <si>
    <t>Diseño</t>
  </si>
  <si>
    <t>Programación</t>
  </si>
  <si>
    <t>Pruebas</t>
  </si>
  <si>
    <t>Despliegue</t>
  </si>
  <si>
    <t>Estimación total del proyecto</t>
  </si>
  <si>
    <t>Estimación de la codificación</t>
  </si>
  <si>
    <t>DÍAS (8 HORAS PRODUCTIVAS)</t>
  </si>
  <si>
    <t>MESES (20 DÍAS HÁBILES)</t>
  </si>
  <si>
    <t>Equipo de 4 personas: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</si>
</sst>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sz val="11"/>
      <color theme="1"/>
      <name val="Calibri"/>
      <scheme val="minor"/>
    </font>
    <font>
      <b/>
      <sz val="11"/>
      <color theme="1"/>
      <name val="Arial"/>
      <family val="2"/>
      <charset val="1"/>
    </font>
    <font>
      <b/>
      <sz val="11"/>
      <color theme="1"/>
      <name val="Calibri"/>
      <family val="2"/>
      <charset val="1"/>
    </font>
    <font>
      <b/>
      <sz val="11"/>
      <color rgb="FF000000"/>
      <name val="Arial"/>
      <family val="2"/>
      <charset val="1"/>
    </font>
    <font>
      <b/>
      <sz val="11"/>
      <color rgb="FF202122"/>
      <name val="Arial"/>
      <family val="2"/>
      <charset val="1"/>
    </font>
    <font>
      <b/>
      <sz val="11"/>
      <color rgb="FF000000"/>
      <name val="Calibri"/>
      <family val="2"/>
      <charset val="1"/>
    </font>
    <font>
      <sz val="10"/>
      <name val="Arial"/>
      <family val="2"/>
    </font>
    <font>
      <sz val="9"/>
      <color rgb="FF000000"/>
      <name val="Tahoma"/>
      <family val="2"/>
      <charset val="1"/>
    </font>
    <font>
      <b/>
      <sz val="16"/>
      <color theme="1"/>
      <name val="Calibri"/>
      <family val="2"/>
      <charset val="1"/>
    </font>
    <font>
      <b/>
      <sz val="11"/>
      <color theme="1"/>
      <name val="Calibri"/>
      <scheme val="minor"/>
    </font>
    <font>
      <b/>
      <sz val="11"/>
      <color rgb="FF000000"/>
      <name val="Calibri"/>
    </font>
  </fonts>
  <fills count="8">
    <fill>
      <patternFill patternType="none"/>
    </fill>
    <fill>
      <patternFill patternType="gray125"/>
    </fill>
    <fill>
      <patternFill patternType="solid">
        <fgColor rgb="FFFFFF00"/>
        <bgColor rgb="FFFFFF00"/>
      </patternFill>
    </fill>
    <fill>
      <patternFill patternType="solid">
        <fgColor theme="6" tint="0.59987182226020086"/>
        <bgColor rgb="FFDDD9C3"/>
      </patternFill>
    </fill>
    <fill>
      <patternFill patternType="solid">
        <fgColor theme="6" tint="0.79989013336588644"/>
        <bgColor rgb="FFDCE6F2"/>
      </patternFill>
    </fill>
    <fill>
      <patternFill patternType="solid">
        <fgColor theme="3" tint="0.79989013336588644"/>
        <bgColor rgb="FFDCE6F2"/>
      </patternFill>
    </fill>
    <fill>
      <patternFill patternType="solid">
        <fgColor theme="4" tint="0.79989013336588644"/>
        <bgColor rgb="FFEBF1DE"/>
      </patternFill>
    </fill>
    <fill>
      <patternFill patternType="solid">
        <fgColor theme="2" tint="-9.9978637043366805E-2"/>
        <bgColor rgb="FFD7E4BD"/>
      </patternFill>
    </fill>
  </fills>
  <borders count="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6">
    <xf numFmtId="0" fontId="0" fillId="0" borderId="0" xfId="0"/>
    <xf numFmtId="0" fontId="3" fillId="0" borderId="1" xfId="0" applyFont="1" applyBorder="1" applyAlignment="1">
      <alignment horizontal="center"/>
    </xf>
    <xf numFmtId="0" fontId="0" fillId="0" borderId="1" xfId="0" applyBorder="1"/>
    <xf numFmtId="0" fontId="2" fillId="3" borderId="2" xfId="0" applyFont="1" applyFill="1" applyBorder="1" applyAlignment="1">
      <alignment horizontal="center"/>
    </xf>
    <xf numFmtId="0" fontId="2" fillId="3" borderId="2" xfId="0" applyFont="1" applyFill="1" applyBorder="1"/>
    <xf numFmtId="0" fontId="0" fillId="3" borderId="0" xfId="0" applyFill="1"/>
    <xf numFmtId="0" fontId="5" fillId="3" borderId="0" xfId="0" applyFont="1" applyFill="1" applyAlignment="1">
      <alignment vertical="center" wrapText="1"/>
    </xf>
    <xf numFmtId="0" fontId="3" fillId="3" borderId="0" xfId="0" applyFont="1" applyFill="1"/>
    <xf numFmtId="0" fontId="3" fillId="0" borderId="0" xfId="0" applyFont="1"/>
    <xf numFmtId="0" fontId="3" fillId="2" borderId="0" xfId="0" applyFont="1" applyFill="1" applyAlignment="1">
      <alignment horizontal="center"/>
    </xf>
    <xf numFmtId="0" fontId="3" fillId="3" borderId="0" xfId="0" applyFont="1" applyFill="1" applyAlignment="1">
      <alignment horizontal="right" vertical="center"/>
    </xf>
    <xf numFmtId="0" fontId="3" fillId="3" borderId="0" xfId="0" applyFont="1" applyFill="1" applyAlignment="1">
      <alignment horizontal="left" vertical="center"/>
    </xf>
    <xf numFmtId="0" fontId="3" fillId="0" borderId="1" xfId="0" applyFont="1" applyBorder="1" applyAlignment="1">
      <alignment horizontal="center" vertical="center"/>
    </xf>
    <xf numFmtId="0" fontId="3" fillId="4" borderId="3" xfId="0" applyFont="1" applyFill="1" applyBorder="1" applyAlignment="1">
      <alignment horizontal="center"/>
    </xf>
    <xf numFmtId="0" fontId="3" fillId="4" borderId="0" xfId="0" applyFont="1" applyFill="1" applyAlignment="1">
      <alignment horizontal="center"/>
    </xf>
    <xf numFmtId="0" fontId="3" fillId="4" borderId="1" xfId="0" applyFont="1" applyFill="1" applyBorder="1" applyAlignment="1">
      <alignment horizontal="center"/>
    </xf>
    <xf numFmtId="0" fontId="0" fillId="0" borderId="1" xfId="0" applyBorder="1" applyAlignment="1">
      <alignment horizontal="center"/>
    </xf>
    <xf numFmtId="0" fontId="0" fillId="3" borderId="0" xfId="0" applyFill="1" applyAlignment="1">
      <alignment horizontal="center"/>
    </xf>
    <xf numFmtId="0" fontId="3" fillId="0" borderId="0" xfId="0" applyFont="1" applyAlignment="1">
      <alignment horizontal="center"/>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xf numFmtId="0" fontId="3" fillId="5" borderId="1"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0" xfId="0" applyFont="1" applyFill="1" applyAlignment="1">
      <alignment horizontal="center" vertical="center"/>
    </xf>
    <xf numFmtId="0" fontId="0" fillId="3" borderId="1" xfId="0" applyFill="1" applyBorder="1"/>
    <xf numFmtId="0" fontId="0" fillId="6" borderId="3" xfId="0" applyFill="1" applyBorder="1"/>
    <xf numFmtId="0" fontId="0" fillId="6" borderId="3" xfId="0" applyFill="1" applyBorder="1" applyAlignment="1">
      <alignment horizontal="center" vertical="center"/>
    </xf>
    <xf numFmtId="0" fontId="0" fillId="0" borderId="5" xfId="0" applyBorder="1"/>
    <xf numFmtId="0" fontId="0" fillId="0" borderId="1" xfId="0" applyBorder="1" applyAlignment="1">
      <alignment horizontal="center" vertical="center"/>
    </xf>
    <xf numFmtId="0" fontId="3" fillId="7"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0" xfId="0" applyFont="1" applyFill="1" applyAlignment="1">
      <alignment horizontal="center" vertical="center"/>
    </xf>
    <xf numFmtId="0" fontId="3" fillId="6" borderId="5" xfId="0" applyFont="1" applyFill="1" applyBorder="1" applyAlignment="1">
      <alignment horizontal="center" vertical="center"/>
    </xf>
    <xf numFmtId="0" fontId="0" fillId="6" borderId="1" xfId="0" applyFill="1" applyBorder="1" applyAlignment="1">
      <alignment horizontal="center" vertical="center"/>
    </xf>
    <xf numFmtId="0" fontId="9" fillId="6" borderId="0" xfId="0" applyFont="1" applyFill="1"/>
    <xf numFmtId="0" fontId="3" fillId="7" borderId="1" xfId="0" applyFont="1" applyFill="1" applyBorder="1"/>
    <xf numFmtId="0" fontId="0" fillId="7" borderId="1" xfId="0" applyFill="1" applyBorder="1"/>
    <xf numFmtId="0" fontId="0" fillId="0" borderId="6" xfId="0" applyBorder="1" applyAlignment="1">
      <alignment horizontal="center"/>
    </xf>
    <xf numFmtId="0" fontId="3" fillId="4" borderId="4" xfId="0" applyFont="1" applyFill="1" applyBorder="1" applyAlignment="1">
      <alignment horizontal="center"/>
    </xf>
    <xf numFmtId="0" fontId="10" fillId="0" borderId="7" xfId="0" applyFont="1" applyBorder="1"/>
    <xf numFmtId="0" fontId="11" fillId="0" borderId="0" xfId="0" applyFont="1"/>
    <xf numFmtId="0" fontId="1" fillId="0" borderId="7" xfId="0" applyFont="1" applyBorder="1" applyAlignment="1">
      <alignment horizontal="center"/>
    </xf>
    <xf numFmtId="0" fontId="1" fillId="0" borderId="3" xfId="0" applyFont="1" applyBorder="1" applyAlignment="1">
      <alignment horizontal="center"/>
    </xf>
    <xf numFmtId="0" fontId="1" fillId="0" borderId="1" xfId="0" applyFont="1" applyBorder="1" applyAlignment="1">
      <alignment horizont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2" fillId="2" borderId="0" xfId="0" applyFont="1" applyFill="1" applyAlignment="1">
      <alignment horizontal="center"/>
    </xf>
    <xf numFmtId="0" fontId="4" fillId="2" borderId="0" xfId="0" applyFont="1" applyFill="1" applyAlignment="1">
      <alignment horizontal="center" vertical="center" wrapText="1"/>
    </xf>
    <xf numFmtId="0" fontId="3" fillId="3" borderId="1" xfId="0" applyFont="1" applyFill="1" applyBorder="1" applyAlignment="1">
      <alignment horizontal="center"/>
    </xf>
    <xf numFmtId="0" fontId="3" fillId="0" borderId="1" xfId="0" applyFont="1" applyBorder="1" applyAlignment="1">
      <alignment horizontal="center" wrapText="1"/>
    </xf>
    <xf numFmtId="0" fontId="3" fillId="3" borderId="1" xfId="0" applyFont="1" applyFill="1" applyBorder="1" applyAlignment="1">
      <alignment horizontal="center" vertical="center"/>
    </xf>
    <xf numFmtId="0" fontId="3" fillId="7" borderId="1" xfId="0" applyFont="1" applyFill="1" applyBorder="1" applyAlignment="1">
      <alignment horizontal="center"/>
    </xf>
    <xf numFmtId="0" fontId="5" fillId="6" borderId="0" xfId="0" applyFont="1" applyFill="1" applyAlignment="1">
      <alignment horizontal="center" vertical="center" wrapText="1"/>
    </xf>
    <xf numFmtId="0" fontId="0" fillId="0" borderId="0" xfId="0" applyAlignment="1">
      <alignment horizontal="left"/>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9C3"/>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021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7</xdr:col>
      <xdr:colOff>181080</xdr:colOff>
      <xdr:row>1</xdr:row>
      <xdr:rowOff>38160</xdr:rowOff>
    </xdr:from>
    <xdr:to>
      <xdr:col>14</xdr:col>
      <xdr:colOff>542520</xdr:colOff>
      <xdr:row>12</xdr:row>
      <xdr:rowOff>18720</xdr:rowOff>
    </xdr:to>
    <xdr:sp macro="" textlink="">
      <xdr:nvSpPr>
        <xdr:cNvPr id="2" name="1 CuadroTexto">
          <a:extLst>
            <a:ext uri="{FF2B5EF4-FFF2-40B4-BE49-F238E27FC236}">
              <a16:creationId xmlns:a16="http://schemas.microsoft.com/office/drawing/2014/main" id="{00000000-0008-0000-0100-000002000000}"/>
            </a:ext>
          </a:extLst>
        </xdr:cNvPr>
        <xdr:cNvSpPr/>
      </xdr:nvSpPr>
      <xdr:spPr>
        <a:xfrm>
          <a:off x="10235520" y="219240"/>
          <a:ext cx="4855320" cy="2180880"/>
        </a:xfrm>
        <a:prstGeom prst="rect">
          <a:avLst/>
        </a:prstGeom>
        <a:solidFill>
          <a:srgbClr val="FFFFFF"/>
        </a:solidFill>
        <a:ln w="9525">
          <a:solidFill>
            <a:srgbClr val="FFFFFF">
              <a:shade val="50000"/>
            </a:srgbClr>
          </a:solidFill>
          <a:round/>
        </a:ln>
      </xdr:spPr>
      <xdr:style>
        <a:lnRef idx="0">
          <a:scrgbClr r="0" g="0" b="0"/>
        </a:lnRef>
        <a:fillRef idx="0">
          <a:scrgbClr r="0" g="0" b="0"/>
        </a:fillRef>
        <a:effectRef idx="0">
          <a:scrgbClr r="0" g="0" b="0"/>
        </a:effectRef>
        <a:fontRef idx="minor"/>
      </xdr:style>
      <xdr:txBody>
        <a:bodyPr vertOverflow="clip" horzOverflow="clip" lIns="90000" tIns="45000" rIns="90000" bIns="45000" anchor="t">
          <a:noAutofit/>
        </a:bodyPr>
        <a:lstStyle/>
        <a:p>
          <a:pPr>
            <a:lnSpc>
              <a:spcPct val="100000"/>
            </a:lnSpc>
          </a:pPr>
          <a:r>
            <a:rPr lang="es-ES" sz="1100" b="0" u="none" strike="noStrike">
              <a:solidFill>
                <a:schemeClr val="dk1"/>
              </a:solidFill>
              <a:effectLst/>
              <a:uFillTx/>
              <a:latin typeface="Calibri"/>
            </a:rPr>
            <a:t>El UUCP son los puntos de casos de uso sin ajustar, esto nos puede servir para tener una idea un poco más precisa de la dificultad de los casos de uso e interfaces, tomando en cuenta los pesos de los actores (UAW) y los pesos de los casos de uso (UUCW).</a:t>
          </a:r>
          <a:endParaRPr lang="en-US" sz="1100" b="0" u="none" strike="noStrike">
            <a:effectLst/>
            <a:uFillTx/>
            <a:latin typeface="Times New Roman"/>
          </a:endParaRPr>
        </a:p>
        <a:p>
          <a:pPr>
            <a:lnSpc>
              <a:spcPct val="100000"/>
            </a:lnSpc>
          </a:pPr>
          <a:r>
            <a:rPr lang="es-ES" sz="1100" b="1" u="none" strike="noStrike">
              <a:solidFill>
                <a:schemeClr val="dk1"/>
              </a:solidFill>
              <a:effectLst/>
              <a:uFillTx/>
              <a:latin typeface="Calibri"/>
            </a:rPr>
            <a:t>UUCP = UAW + UUCW</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Estas siglas significan:</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UUCP: Puntos de casos de uso sin ajustar.</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UAW: Factor de peso de los actores sin ajustar.</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UUCW: Factor de peso de los casos de uso sin ajustar.</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Aplicando el análisis de puntos de función a estos casos de uso, se puede obtener una estimación trivial del tamaño y a partir de ella una estimación del esfuerzo</a:t>
          </a:r>
          <a:endParaRPr lang="en-US" sz="1100" b="0" u="none" strike="noStrike">
            <a:effectLst/>
            <a:uFillTx/>
            <a:latin typeface="Times New Roman"/>
          </a:endParaRPr>
        </a:p>
        <a:p>
          <a:pPr>
            <a:lnSpc>
              <a:spcPct val="100000"/>
            </a:lnSpc>
          </a:pPr>
          <a:endParaRPr lang="en-US" sz="1100" b="0" u="none" strike="noStrike">
            <a:effectLst/>
            <a:uFillTx/>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750960</xdr:colOff>
      <xdr:row>1</xdr:row>
      <xdr:rowOff>179280</xdr:rowOff>
    </xdr:from>
    <xdr:to>
      <xdr:col>10</xdr:col>
      <xdr:colOff>142200</xdr:colOff>
      <xdr:row>10</xdr:row>
      <xdr:rowOff>171000</xdr:rowOff>
    </xdr:to>
    <xdr:sp macro="" textlink="">
      <xdr:nvSpPr>
        <xdr:cNvPr id="2" name="1 CuadroTexto">
          <a:extLst>
            <a:ext uri="{FF2B5EF4-FFF2-40B4-BE49-F238E27FC236}">
              <a16:creationId xmlns:a16="http://schemas.microsoft.com/office/drawing/2014/main" id="{00000000-0008-0000-0300-000002000000}"/>
            </a:ext>
          </a:extLst>
        </xdr:cNvPr>
        <xdr:cNvSpPr/>
      </xdr:nvSpPr>
      <xdr:spPr>
        <a:xfrm>
          <a:off x="3008520" y="1084320"/>
          <a:ext cx="4658400" cy="1689480"/>
        </a:xfrm>
        <a:prstGeom prst="rect">
          <a:avLst/>
        </a:prstGeom>
        <a:solidFill>
          <a:srgbClr val="FFFFFF"/>
        </a:solidFill>
        <a:ln w="9525">
          <a:solidFill>
            <a:srgbClr val="FFFFFF">
              <a:shade val="50000"/>
            </a:srgbClr>
          </a:solidFill>
          <a:round/>
        </a:ln>
      </xdr:spPr>
      <xdr:style>
        <a:lnRef idx="0">
          <a:scrgbClr r="0" g="0" b="0"/>
        </a:lnRef>
        <a:fillRef idx="0">
          <a:scrgbClr r="0" g="0" b="0"/>
        </a:fillRef>
        <a:effectRef idx="0">
          <a:scrgbClr r="0" g="0" b="0"/>
        </a:effectRef>
        <a:fontRef idx="minor"/>
      </xdr:style>
      <xdr:txBody>
        <a:bodyPr vertOverflow="clip" horzOverflow="clip" lIns="90000" tIns="45000" rIns="90000" bIns="45000" anchor="t">
          <a:noAutofit/>
        </a:bodyPr>
        <a:lstStyle/>
        <a:p>
          <a:pPr>
            <a:lnSpc>
              <a:spcPct val="100000"/>
            </a:lnSpc>
          </a:pPr>
          <a:r>
            <a:rPr lang="es-ES" sz="1100" b="0" u="none" strike="noStrike">
              <a:solidFill>
                <a:schemeClr val="dk1"/>
              </a:solidFill>
              <a:effectLst/>
              <a:uFillTx/>
              <a:latin typeface="Calibri"/>
            </a:rPr>
            <a:t>Para esto se utilizan las siglas UCP y se obtiene al multiplicar el UUCP el TCF y el EF quedando la operación de la siguiente forma:</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UCP = UUCP x TCF x EF</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Estas siglas significan:</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UCP: Puntos de casos de uso ajustados.</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UUCP: Puntos de casos de uso sin ajustar.</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TCF: Factores técnicos.</a:t>
          </a:r>
          <a:endParaRPr lang="en-US" sz="1100" b="0" u="none" strike="noStrike">
            <a:effectLst/>
            <a:uFillTx/>
            <a:latin typeface="Times New Roman"/>
          </a:endParaRPr>
        </a:p>
        <a:p>
          <a:pPr>
            <a:lnSpc>
              <a:spcPct val="100000"/>
            </a:lnSpc>
          </a:pPr>
          <a:r>
            <a:rPr lang="es-ES" sz="1100" b="0" u="none" strike="noStrike">
              <a:solidFill>
                <a:schemeClr val="dk1"/>
              </a:solidFill>
              <a:effectLst/>
              <a:uFillTx/>
              <a:latin typeface="Calibri"/>
            </a:rPr>
            <a:t>EF: Factores ambientales.</a:t>
          </a:r>
          <a:endParaRPr lang="en-US" sz="1100" b="0" u="none" strike="noStrike">
            <a:effectLst/>
            <a:uFillTx/>
            <a:latin typeface="Times New Roman"/>
          </a:endParaRPr>
        </a:p>
        <a:p>
          <a:pPr>
            <a:lnSpc>
              <a:spcPct val="100000"/>
            </a:lnSpc>
          </a:pPr>
          <a:endParaRPr lang="en-US" sz="1100" b="0" u="none" strike="noStrike">
            <a:effectLst/>
            <a:uFillTx/>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304920</xdr:colOff>
      <xdr:row>0</xdr:row>
      <xdr:rowOff>123840</xdr:rowOff>
    </xdr:from>
    <xdr:to>
      <xdr:col>6</xdr:col>
      <xdr:colOff>447480</xdr:colOff>
      <xdr:row>5</xdr:row>
      <xdr:rowOff>37800</xdr:rowOff>
    </xdr:to>
    <xdr:sp macro="" textlink="">
      <xdr:nvSpPr>
        <xdr:cNvPr id="3" name="1 CuadroTexto">
          <a:extLst>
            <a:ext uri="{FF2B5EF4-FFF2-40B4-BE49-F238E27FC236}">
              <a16:creationId xmlns:a16="http://schemas.microsoft.com/office/drawing/2014/main" id="{00000000-0008-0000-0400-000003000000}"/>
            </a:ext>
          </a:extLst>
        </xdr:cNvPr>
        <xdr:cNvSpPr/>
      </xdr:nvSpPr>
      <xdr:spPr>
        <a:xfrm>
          <a:off x="304920" y="123840"/>
          <a:ext cx="8844120" cy="819000"/>
        </a:xfrm>
        <a:prstGeom prst="rect">
          <a:avLst/>
        </a:prstGeom>
        <a:solidFill>
          <a:srgbClr val="FFFFFF"/>
        </a:solidFill>
        <a:ln w="25400">
          <a:solidFill>
            <a:srgbClr val="C0504D"/>
          </a:solidFill>
          <a:round/>
        </a:ln>
      </xdr:spPr>
      <xdr:style>
        <a:lnRef idx="2">
          <a:schemeClr val="accent2"/>
        </a:lnRef>
        <a:fillRef idx="1">
          <a:schemeClr val="lt1"/>
        </a:fillRef>
        <a:effectRef idx="0">
          <a:schemeClr val="accent2"/>
        </a:effectRef>
        <a:fontRef idx="minor"/>
      </xdr:style>
      <xdr:txBody>
        <a:bodyPr vertOverflow="clip" horzOverflow="clip" lIns="90000" tIns="45000" rIns="90000" bIns="45000" anchor="t">
          <a:noAutofit/>
        </a:bodyPr>
        <a:lstStyle/>
        <a:p>
          <a:pPr>
            <a:lnSpc>
              <a:spcPct val="100000"/>
            </a:lnSpc>
          </a:pPr>
          <a:r>
            <a:rPr lang="es-ES" sz="1100" b="0" u="none" strike="noStrike">
              <a:solidFill>
                <a:schemeClr val="dk1"/>
              </a:solidFill>
              <a:effectLst/>
              <a:uFillTx/>
              <a:latin typeface="Calibri"/>
            </a:rPr>
            <a:t>Al realizar la multiplicación del UCP por las horas- persona, se consigue un esfuerzo estimado, que representa una parte del total del esfuerzo de todo el proyecto, generalmente un 40%. Este 40% se refiere al esfuerzo total para el desarrollo de la funcionalidades especificadas en los Casos de Uso.</a:t>
          </a:r>
          <a:endParaRPr lang="en-US" sz="1100" b="0" u="none" strike="noStrike">
            <a:effectLst/>
            <a:uFillTx/>
            <a:latin typeface="Times New Roman"/>
          </a:endParaRPr>
        </a:p>
      </xdr:txBody>
    </xdr:sp>
    <xdr:clientData/>
  </xdr:twoCellAnchor>
</xdr:wsDr>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8"/>
  <sheetViews>
    <sheetView zoomScale="120" zoomScaleNormal="120" workbookViewId="0">
      <selection activeCell="B24" sqref="B24"/>
    </sheetView>
  </sheetViews>
  <sheetFormatPr baseColWidth="10" defaultColWidth="9.140625" defaultRowHeight="15" x14ac:dyDescent="0.25"/>
  <cols>
    <col min="1" max="1" width="18.28515625" customWidth="1"/>
    <col min="2" max="2" width="127.28515625" customWidth="1"/>
  </cols>
  <sheetData>
    <row r="1" spans="1:3" x14ac:dyDescent="0.25">
      <c r="A1" s="48" t="s">
        <v>0</v>
      </c>
      <c r="B1" s="48"/>
      <c r="C1" s="48"/>
    </row>
    <row r="2" spans="1:3" x14ac:dyDescent="0.25">
      <c r="A2" s="1" t="s">
        <v>1</v>
      </c>
      <c r="B2" s="1" t="s">
        <v>2</v>
      </c>
      <c r="C2" s="1" t="s">
        <v>3</v>
      </c>
    </row>
    <row r="3" spans="1:3" x14ac:dyDescent="0.25">
      <c r="A3" s="2" t="s">
        <v>4</v>
      </c>
      <c r="B3" s="2" t="s">
        <v>5</v>
      </c>
      <c r="C3" s="2">
        <v>1</v>
      </c>
    </row>
    <row r="4" spans="1:3" x14ac:dyDescent="0.25">
      <c r="A4" s="2" t="s">
        <v>6</v>
      </c>
      <c r="B4" s="2" t="s">
        <v>7</v>
      </c>
      <c r="C4" s="2">
        <v>2</v>
      </c>
    </row>
    <row r="5" spans="1:3" x14ac:dyDescent="0.25">
      <c r="A5" s="2" t="s">
        <v>8</v>
      </c>
      <c r="B5" s="2" t="s">
        <v>9</v>
      </c>
      <c r="C5" s="2">
        <v>3</v>
      </c>
    </row>
    <row r="6" spans="1:3" x14ac:dyDescent="0.25">
      <c r="A6" s="2"/>
      <c r="B6" s="2"/>
      <c r="C6" s="2"/>
    </row>
    <row r="8" spans="1:3" ht="14.25" customHeight="1" x14ac:dyDescent="0.25">
      <c r="A8" s="49" t="s">
        <v>10</v>
      </c>
      <c r="B8" s="49"/>
      <c r="C8" s="49"/>
    </row>
    <row r="9" spans="1:3" x14ac:dyDescent="0.25">
      <c r="A9" s="3"/>
      <c r="B9" s="4" t="s">
        <v>11</v>
      </c>
      <c r="C9" s="4">
        <v>1</v>
      </c>
    </row>
    <row r="10" spans="1:3" x14ac:dyDescent="0.25">
      <c r="A10" s="2" t="s">
        <v>12</v>
      </c>
      <c r="B10" s="2" t="s">
        <v>13</v>
      </c>
      <c r="C10" s="2" t="s">
        <v>3</v>
      </c>
    </row>
    <row r="11" spans="1:3" x14ac:dyDescent="0.25">
      <c r="A11" s="2" t="s">
        <v>4</v>
      </c>
      <c r="B11" s="2" t="s">
        <v>14</v>
      </c>
      <c r="C11" s="2">
        <v>5</v>
      </c>
    </row>
    <row r="12" spans="1:3" x14ac:dyDescent="0.25">
      <c r="A12" s="2" t="s">
        <v>6</v>
      </c>
      <c r="B12" s="2" t="s">
        <v>15</v>
      </c>
      <c r="C12" s="2">
        <v>10</v>
      </c>
    </row>
    <row r="13" spans="1:3" x14ac:dyDescent="0.25">
      <c r="A13" s="2" t="s">
        <v>8</v>
      </c>
      <c r="B13" s="2" t="s">
        <v>16</v>
      </c>
      <c r="C13" s="2">
        <v>15</v>
      </c>
    </row>
    <row r="14" spans="1:3" ht="15.75" customHeight="1" x14ac:dyDescent="0.25">
      <c r="A14" s="5"/>
      <c r="B14" s="6" t="s">
        <v>17</v>
      </c>
      <c r="C14" s="7">
        <v>2</v>
      </c>
    </row>
    <row r="15" spans="1:3" x14ac:dyDescent="0.25">
      <c r="A15" s="2" t="s">
        <v>12</v>
      </c>
      <c r="B15" s="2" t="s">
        <v>13</v>
      </c>
      <c r="C15" s="2" t="s">
        <v>3</v>
      </c>
    </row>
    <row r="16" spans="1:3" x14ac:dyDescent="0.25">
      <c r="A16" s="2" t="s">
        <v>4</v>
      </c>
      <c r="B16" s="2" t="s">
        <v>18</v>
      </c>
      <c r="C16" s="2">
        <v>5</v>
      </c>
    </row>
    <row r="17" spans="1:3" x14ac:dyDescent="0.25">
      <c r="A17" s="2" t="s">
        <v>6</v>
      </c>
      <c r="B17" s="2" t="s">
        <v>19</v>
      </c>
      <c r="C17" s="2">
        <v>10</v>
      </c>
    </row>
    <row r="18" spans="1:3" x14ac:dyDescent="0.25">
      <c r="A18" s="2" t="s">
        <v>8</v>
      </c>
      <c r="B18" s="2" t="s">
        <v>20</v>
      </c>
      <c r="C18" s="2">
        <v>15</v>
      </c>
    </row>
  </sheetData>
  <mergeCells count="2">
    <mergeCell ref="A1:C1"/>
    <mergeCell ref="A8:C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27"/>
  <sheetViews>
    <sheetView topLeftCell="A4" zoomScale="120" zoomScaleNormal="120" workbookViewId="0">
      <selection activeCell="B22" sqref="B22"/>
    </sheetView>
  </sheetViews>
  <sheetFormatPr baseColWidth="10" defaultColWidth="9.140625" defaultRowHeight="15" x14ac:dyDescent="0.25"/>
  <cols>
    <col min="1" max="1" width="48.85546875" customWidth="1"/>
    <col min="2" max="3" width="17.140625" customWidth="1"/>
    <col min="5" max="5" width="23.7109375" customWidth="1"/>
    <col min="6" max="6" width="17.7109375" customWidth="1"/>
  </cols>
  <sheetData>
    <row r="1" spans="1:7" x14ac:dyDescent="0.25">
      <c r="A1" s="8"/>
    </row>
    <row r="2" spans="1:7" x14ac:dyDescent="0.25">
      <c r="A2" s="9" t="s">
        <v>21</v>
      </c>
    </row>
    <row r="3" spans="1:7" x14ac:dyDescent="0.25">
      <c r="A3" s="10" t="s">
        <v>22</v>
      </c>
      <c r="B3" s="11">
        <f>SUM($G$4,$C$4)</f>
        <v>134</v>
      </c>
    </row>
    <row r="4" spans="1:7" ht="30.75" customHeight="1" x14ac:dyDescent="0.25">
      <c r="A4" s="46" t="s">
        <v>23</v>
      </c>
      <c r="B4" s="46"/>
      <c r="C4" s="12">
        <f>SUM($C$7,$C$10,$C$13)</f>
        <v>120</v>
      </c>
      <c r="E4" s="47" t="s">
        <v>24</v>
      </c>
      <c r="F4" s="47"/>
      <c r="G4" s="12">
        <f>SUM($F$27,$F$29,$F$31)</f>
        <v>14</v>
      </c>
    </row>
    <row r="5" spans="1:7" x14ac:dyDescent="0.25">
      <c r="A5" s="40" t="s">
        <v>25</v>
      </c>
      <c r="B5" s="13" t="s">
        <v>26</v>
      </c>
      <c r="C5" s="14" t="s">
        <v>27</v>
      </c>
      <c r="E5" s="15" t="s">
        <v>28</v>
      </c>
      <c r="F5" s="15" t="s">
        <v>26</v>
      </c>
    </row>
    <row r="6" spans="1:7" x14ac:dyDescent="0.25">
      <c r="A6" s="43" t="s">
        <v>29</v>
      </c>
      <c r="B6" s="39">
        <v>5</v>
      </c>
      <c r="C6">
        <f>COUNTIF(B6:B126,5)</f>
        <v>11</v>
      </c>
      <c r="E6" s="16" t="s">
        <v>30</v>
      </c>
      <c r="F6" s="16">
        <v>3</v>
      </c>
    </row>
    <row r="7" spans="1:7" x14ac:dyDescent="0.25">
      <c r="A7" s="43" t="s">
        <v>31</v>
      </c>
      <c r="B7" s="39">
        <v>5</v>
      </c>
      <c r="C7" s="17">
        <f>PRODUCT(C6*5)</f>
        <v>55</v>
      </c>
      <c r="E7" s="16" t="s">
        <v>32</v>
      </c>
      <c r="F7" s="16">
        <v>3</v>
      </c>
    </row>
    <row r="8" spans="1:7" x14ac:dyDescent="0.25">
      <c r="A8" s="43" t="s">
        <v>33</v>
      </c>
      <c r="B8" s="39">
        <v>5</v>
      </c>
      <c r="C8" s="18" t="s">
        <v>34</v>
      </c>
      <c r="E8" s="16" t="s">
        <v>35</v>
      </c>
      <c r="F8" s="16">
        <v>3</v>
      </c>
    </row>
    <row r="9" spans="1:7" x14ac:dyDescent="0.25">
      <c r="A9" s="43" t="s">
        <v>36</v>
      </c>
      <c r="B9" s="39">
        <v>5</v>
      </c>
      <c r="C9" s="19">
        <f>COUNTIF($B$6:$B$126,10)</f>
        <v>5</v>
      </c>
      <c r="E9" s="16" t="s">
        <v>37</v>
      </c>
      <c r="F9" s="16">
        <v>3</v>
      </c>
    </row>
    <row r="10" spans="1:7" x14ac:dyDescent="0.25">
      <c r="A10" s="43" t="s">
        <v>38</v>
      </c>
      <c r="B10" s="39">
        <v>5</v>
      </c>
      <c r="C10" s="17">
        <f>PRODUCT($C$9,10)</f>
        <v>50</v>
      </c>
      <c r="E10" s="16" t="s">
        <v>39</v>
      </c>
      <c r="F10" s="16">
        <v>1</v>
      </c>
    </row>
    <row r="11" spans="1:7" x14ac:dyDescent="0.25">
      <c r="A11" s="43" t="s">
        <v>40</v>
      </c>
      <c r="B11" s="39">
        <v>5</v>
      </c>
      <c r="C11" s="18" t="s">
        <v>41</v>
      </c>
      <c r="E11" s="16" t="s">
        <v>42</v>
      </c>
      <c r="F11" s="16">
        <v>1</v>
      </c>
    </row>
    <row r="12" spans="1:7" x14ac:dyDescent="0.25">
      <c r="A12" s="43" t="s">
        <v>43</v>
      </c>
      <c r="B12" s="39">
        <v>10</v>
      </c>
      <c r="C12" s="19">
        <f>COUNTIF(B6:B126,15)</f>
        <v>1</v>
      </c>
      <c r="E12" s="16"/>
      <c r="F12" s="16"/>
    </row>
    <row r="13" spans="1:7" x14ac:dyDescent="0.25">
      <c r="A13" s="43" t="s">
        <v>44</v>
      </c>
      <c r="B13" s="39">
        <v>5</v>
      </c>
      <c r="C13" s="17">
        <f>PRODUCT(C12*15)</f>
        <v>15</v>
      </c>
      <c r="E13" s="16"/>
      <c r="F13" s="16"/>
    </row>
    <row r="14" spans="1:7" x14ac:dyDescent="0.25">
      <c r="A14" s="43" t="s">
        <v>45</v>
      </c>
      <c r="B14" s="39">
        <v>15</v>
      </c>
      <c r="E14" s="16"/>
      <c r="F14" s="16"/>
    </row>
    <row r="15" spans="1:7" x14ac:dyDescent="0.25">
      <c r="A15" s="43" t="s">
        <v>46</v>
      </c>
      <c r="B15" s="39">
        <v>10</v>
      </c>
      <c r="C15" s="19"/>
      <c r="E15" s="16"/>
      <c r="F15" s="16"/>
    </row>
    <row r="16" spans="1:7" x14ac:dyDescent="0.25">
      <c r="A16" s="43" t="s">
        <v>47</v>
      </c>
      <c r="B16" s="39">
        <v>10</v>
      </c>
      <c r="C16" s="19"/>
      <c r="E16" s="16"/>
      <c r="F16" s="16"/>
    </row>
    <row r="17" spans="1:6" x14ac:dyDescent="0.25">
      <c r="A17" s="43" t="s">
        <v>48</v>
      </c>
      <c r="B17" s="39">
        <v>10</v>
      </c>
      <c r="C17" s="19"/>
      <c r="E17" s="16"/>
      <c r="F17" s="16"/>
    </row>
    <row r="18" spans="1:6" x14ac:dyDescent="0.25">
      <c r="A18" s="43" t="s">
        <v>49</v>
      </c>
      <c r="B18" s="39">
        <v>5</v>
      </c>
      <c r="C18" s="19"/>
      <c r="E18" s="16"/>
      <c r="F18" s="16"/>
    </row>
    <row r="19" spans="1:6" x14ac:dyDescent="0.25">
      <c r="A19" s="43" t="s">
        <v>50</v>
      </c>
      <c r="B19" s="39">
        <v>5</v>
      </c>
      <c r="C19" s="19"/>
      <c r="E19" s="16"/>
      <c r="F19" s="16"/>
    </row>
    <row r="20" spans="1:6" x14ac:dyDescent="0.25">
      <c r="A20" s="43" t="s">
        <v>51</v>
      </c>
      <c r="B20" s="39">
        <v>10</v>
      </c>
      <c r="C20" s="19"/>
      <c r="E20" s="16"/>
      <c r="F20" s="16"/>
    </row>
    <row r="21" spans="1:6" x14ac:dyDescent="0.25">
      <c r="A21" s="43" t="s">
        <v>52</v>
      </c>
      <c r="B21" s="39">
        <v>5</v>
      </c>
      <c r="C21" s="19"/>
      <c r="E21" s="16"/>
      <c r="F21" s="16"/>
    </row>
    <row r="22" spans="1:6" x14ac:dyDescent="0.25">
      <c r="A22" s="43" t="s">
        <v>53</v>
      </c>
      <c r="B22" s="39">
        <v>5</v>
      </c>
      <c r="C22" s="19"/>
      <c r="E22" s="16"/>
      <c r="F22" s="16"/>
    </row>
    <row r="23" spans="1:6" x14ac:dyDescent="0.25">
      <c r="A23" s="41"/>
      <c r="B23" s="39"/>
      <c r="C23" s="19"/>
      <c r="E23" s="16"/>
      <c r="F23" s="16"/>
    </row>
    <row r="24" spans="1:6" x14ac:dyDescent="0.25">
      <c r="A24" s="41"/>
      <c r="B24" s="39"/>
      <c r="C24" s="19"/>
      <c r="E24" s="16"/>
      <c r="F24" s="16"/>
    </row>
    <row r="25" spans="1:6" x14ac:dyDescent="0.25">
      <c r="A25" s="41"/>
      <c r="B25" s="39"/>
      <c r="C25" s="19"/>
      <c r="E25" s="16"/>
      <c r="F25" s="16"/>
    </row>
    <row r="26" spans="1:6" x14ac:dyDescent="0.25">
      <c r="A26" s="41"/>
      <c r="B26" s="39"/>
      <c r="C26" s="19"/>
      <c r="E26" s="5" t="s">
        <v>54</v>
      </c>
      <c r="F26">
        <f>COUNTIF(F6:F25,1)</f>
        <v>2</v>
      </c>
    </row>
    <row r="27" spans="1:6" x14ac:dyDescent="0.25">
      <c r="A27" s="41"/>
      <c r="B27" s="39"/>
      <c r="C27" s="19"/>
      <c r="F27" s="5">
        <f>PRODUCT(F26,1)</f>
        <v>2</v>
      </c>
    </row>
    <row r="28" spans="1:6" x14ac:dyDescent="0.25">
      <c r="A28" s="41"/>
      <c r="B28" s="39"/>
      <c r="C28" s="19"/>
      <c r="E28" s="5" t="s">
        <v>55</v>
      </c>
      <c r="F28">
        <f>COUNTIF(F6:F25,2)</f>
        <v>0</v>
      </c>
    </row>
    <row r="29" spans="1:6" x14ac:dyDescent="0.25">
      <c r="A29" s="41"/>
      <c r="B29" s="39"/>
      <c r="C29" s="19"/>
      <c r="F29" s="5">
        <f>PRODUCT(F28,2)</f>
        <v>0</v>
      </c>
    </row>
    <row r="30" spans="1:6" x14ac:dyDescent="0.25">
      <c r="A30" s="41"/>
      <c r="B30" s="39"/>
      <c r="C30" s="19"/>
      <c r="E30" s="5" t="s">
        <v>56</v>
      </c>
      <c r="F30">
        <f>COUNTIF(F6:F25,3)</f>
        <v>4</v>
      </c>
    </row>
    <row r="31" spans="1:6" x14ac:dyDescent="0.25">
      <c r="A31" s="41"/>
      <c r="B31" s="39"/>
      <c r="C31" s="19"/>
      <c r="F31" s="5">
        <f>PRODUCT(F30,3)</f>
        <v>12</v>
      </c>
    </row>
    <row r="32" spans="1:6" x14ac:dyDescent="0.25">
      <c r="A32" s="41"/>
      <c r="B32" s="39"/>
      <c r="C32" s="19"/>
    </row>
    <row r="33" spans="1:3" x14ac:dyDescent="0.25">
      <c r="A33" s="41"/>
      <c r="B33" s="39"/>
      <c r="C33" s="19"/>
    </row>
    <row r="34" spans="1:3" x14ac:dyDescent="0.25">
      <c r="A34" s="41"/>
      <c r="B34" s="39"/>
      <c r="C34" s="19"/>
    </row>
    <row r="35" spans="1:3" x14ac:dyDescent="0.25">
      <c r="A35" s="41"/>
      <c r="B35" s="39"/>
      <c r="C35" s="19"/>
    </row>
    <row r="36" spans="1:3" x14ac:dyDescent="0.25">
      <c r="A36" s="41"/>
      <c r="B36" s="39"/>
      <c r="C36" s="19"/>
    </row>
    <row r="37" spans="1:3" x14ac:dyDescent="0.25">
      <c r="A37" s="41"/>
      <c r="B37" s="39"/>
      <c r="C37" s="19"/>
    </row>
    <row r="38" spans="1:3" x14ac:dyDescent="0.25">
      <c r="A38" s="41"/>
      <c r="B38" s="39"/>
      <c r="C38" s="19"/>
    </row>
    <row r="39" spans="1:3" x14ac:dyDescent="0.25">
      <c r="A39" s="41"/>
      <c r="B39" s="39"/>
      <c r="C39" s="19"/>
    </row>
    <row r="40" spans="1:3" x14ac:dyDescent="0.25">
      <c r="A40" s="41"/>
      <c r="B40" s="39"/>
      <c r="C40" s="19"/>
    </row>
    <row r="41" spans="1:3" x14ac:dyDescent="0.25">
      <c r="A41" s="41"/>
      <c r="B41" s="39"/>
      <c r="C41" s="19"/>
    </row>
    <row r="42" spans="1:3" x14ac:dyDescent="0.25">
      <c r="A42" s="41"/>
      <c r="B42" s="39"/>
      <c r="C42" s="19"/>
    </row>
    <row r="43" spans="1:3" x14ac:dyDescent="0.25">
      <c r="A43" s="41"/>
      <c r="B43" s="39"/>
      <c r="C43" s="19"/>
    </row>
    <row r="44" spans="1:3" x14ac:dyDescent="0.25">
      <c r="A44" s="41"/>
      <c r="B44" s="39"/>
      <c r="C44" s="19"/>
    </row>
    <row r="45" spans="1:3" x14ac:dyDescent="0.25">
      <c r="A45" s="41"/>
      <c r="B45" s="39"/>
      <c r="C45" s="19"/>
    </row>
    <row r="46" spans="1:3" x14ac:dyDescent="0.25">
      <c r="A46" s="41"/>
      <c r="B46" s="39"/>
      <c r="C46" s="19"/>
    </row>
    <row r="47" spans="1:3" x14ac:dyDescent="0.25">
      <c r="A47" s="44"/>
      <c r="B47" s="16"/>
      <c r="C47" s="19"/>
    </row>
    <row r="48" spans="1:3" x14ac:dyDescent="0.25">
      <c r="A48" s="45"/>
      <c r="B48" s="16"/>
      <c r="C48" s="19"/>
    </row>
    <row r="49" spans="1:3" x14ac:dyDescent="0.25">
      <c r="A49" s="45"/>
      <c r="B49" s="16"/>
      <c r="C49" s="19"/>
    </row>
    <row r="50" spans="1:3" x14ac:dyDescent="0.25">
      <c r="A50" s="45"/>
      <c r="B50" s="16"/>
      <c r="C50" s="19"/>
    </row>
    <row r="51" spans="1:3" x14ac:dyDescent="0.25">
      <c r="A51" s="45"/>
      <c r="B51" s="16"/>
      <c r="C51" s="19"/>
    </row>
    <row r="52" spans="1:3" x14ac:dyDescent="0.25">
      <c r="A52" s="16"/>
      <c r="B52" s="16"/>
      <c r="C52" s="19"/>
    </row>
    <row r="53" spans="1:3" x14ac:dyDescent="0.25">
      <c r="A53" s="16"/>
      <c r="B53" s="16"/>
      <c r="C53" s="19"/>
    </row>
    <row r="54" spans="1:3" x14ac:dyDescent="0.25">
      <c r="A54" s="16"/>
      <c r="B54" s="16"/>
      <c r="C54" s="19"/>
    </row>
    <row r="55" spans="1:3" x14ac:dyDescent="0.25">
      <c r="A55" s="16"/>
      <c r="B55" s="16"/>
      <c r="C55" s="19"/>
    </row>
    <row r="56" spans="1:3" x14ac:dyDescent="0.25">
      <c r="A56" s="16"/>
      <c r="B56" s="16"/>
      <c r="C56" s="19"/>
    </row>
    <row r="57" spans="1:3" x14ac:dyDescent="0.25">
      <c r="A57" s="16"/>
      <c r="B57" s="16"/>
      <c r="C57" s="19"/>
    </row>
    <row r="58" spans="1:3" x14ac:dyDescent="0.25">
      <c r="A58" s="16"/>
      <c r="B58" s="16"/>
      <c r="C58" s="19"/>
    </row>
    <row r="59" spans="1:3" x14ac:dyDescent="0.25">
      <c r="A59" s="16"/>
      <c r="B59" s="16"/>
      <c r="C59" s="19"/>
    </row>
    <row r="60" spans="1:3" x14ac:dyDescent="0.25">
      <c r="A60" s="16"/>
      <c r="B60" s="16"/>
      <c r="C60" s="19"/>
    </row>
    <row r="61" spans="1:3" x14ac:dyDescent="0.25">
      <c r="A61" s="16"/>
      <c r="B61" s="16"/>
      <c r="C61" s="19"/>
    </row>
    <row r="62" spans="1:3" x14ac:dyDescent="0.25">
      <c r="A62" s="16"/>
      <c r="B62" s="16"/>
      <c r="C62" s="19"/>
    </row>
    <row r="63" spans="1:3" x14ac:dyDescent="0.25">
      <c r="A63" s="16"/>
      <c r="B63" s="16"/>
      <c r="C63" s="19"/>
    </row>
    <row r="64" spans="1:3" x14ac:dyDescent="0.25">
      <c r="A64" s="16"/>
      <c r="B64" s="16"/>
      <c r="C64" s="19"/>
    </row>
    <row r="65" spans="1:3" x14ac:dyDescent="0.25">
      <c r="A65" s="16"/>
      <c r="B65" s="16"/>
      <c r="C65" s="19"/>
    </row>
    <row r="66" spans="1:3" x14ac:dyDescent="0.25">
      <c r="A66" s="16"/>
      <c r="B66" s="16"/>
      <c r="C66" s="19"/>
    </row>
    <row r="67" spans="1:3" x14ac:dyDescent="0.25">
      <c r="A67" s="16"/>
      <c r="B67" s="16"/>
      <c r="C67" s="19"/>
    </row>
    <row r="68" spans="1:3" x14ac:dyDescent="0.25">
      <c r="A68" s="16"/>
      <c r="B68" s="16"/>
      <c r="C68" s="19"/>
    </row>
    <row r="69" spans="1:3" x14ac:dyDescent="0.25">
      <c r="A69" s="16"/>
      <c r="B69" s="16"/>
      <c r="C69" s="19"/>
    </row>
    <row r="70" spans="1:3" x14ac:dyDescent="0.25">
      <c r="A70" s="16"/>
      <c r="B70" s="16"/>
      <c r="C70" s="19"/>
    </row>
    <row r="71" spans="1:3" x14ac:dyDescent="0.25">
      <c r="A71" s="16"/>
      <c r="B71" s="16"/>
      <c r="C71" s="19"/>
    </row>
    <row r="72" spans="1:3" x14ac:dyDescent="0.25">
      <c r="A72" s="16"/>
      <c r="B72" s="16"/>
      <c r="C72" s="19"/>
    </row>
    <row r="73" spans="1:3" x14ac:dyDescent="0.25">
      <c r="A73" s="16"/>
      <c r="B73" s="16"/>
      <c r="C73" s="19"/>
    </row>
    <row r="74" spans="1:3" x14ac:dyDescent="0.25">
      <c r="A74" s="16"/>
      <c r="B74" s="16"/>
      <c r="C74" s="19"/>
    </row>
    <row r="75" spans="1:3" x14ac:dyDescent="0.25">
      <c r="A75" s="16"/>
      <c r="B75" s="16"/>
      <c r="C75" s="19"/>
    </row>
    <row r="76" spans="1:3" x14ac:dyDescent="0.25">
      <c r="A76" s="16"/>
      <c r="B76" s="16"/>
      <c r="C76" s="19"/>
    </row>
    <row r="77" spans="1:3" x14ac:dyDescent="0.25">
      <c r="A77" s="16"/>
      <c r="B77" s="16"/>
      <c r="C77" s="19"/>
    </row>
    <row r="78" spans="1:3" x14ac:dyDescent="0.25">
      <c r="A78" s="16"/>
      <c r="B78" s="16"/>
      <c r="C78" s="19"/>
    </row>
    <row r="79" spans="1:3" x14ac:dyDescent="0.25">
      <c r="A79" s="16"/>
      <c r="B79" s="16"/>
      <c r="C79" s="19"/>
    </row>
    <row r="80" spans="1:3" x14ac:dyDescent="0.25">
      <c r="A80" s="16"/>
      <c r="B80" s="16"/>
      <c r="C80" s="19"/>
    </row>
    <row r="81" spans="1:3" x14ac:dyDescent="0.25">
      <c r="A81" s="16"/>
      <c r="B81" s="16"/>
      <c r="C81" s="19"/>
    </row>
    <row r="82" spans="1:3" x14ac:dyDescent="0.25">
      <c r="A82" s="16"/>
      <c r="B82" s="16"/>
      <c r="C82" s="19"/>
    </row>
    <row r="83" spans="1:3" x14ac:dyDescent="0.25">
      <c r="A83" s="16"/>
      <c r="B83" s="16"/>
      <c r="C83" s="19"/>
    </row>
    <row r="84" spans="1:3" x14ac:dyDescent="0.25">
      <c r="A84" s="16"/>
      <c r="B84" s="16"/>
      <c r="C84" s="19"/>
    </row>
    <row r="85" spans="1:3" x14ac:dyDescent="0.25">
      <c r="A85" s="16"/>
      <c r="B85" s="16"/>
      <c r="C85" s="19"/>
    </row>
    <row r="86" spans="1:3" x14ac:dyDescent="0.25">
      <c r="A86" s="16"/>
      <c r="B86" s="16"/>
      <c r="C86" s="19"/>
    </row>
    <row r="87" spans="1:3" x14ac:dyDescent="0.25">
      <c r="A87" s="16"/>
      <c r="B87" s="16"/>
      <c r="C87" s="19"/>
    </row>
    <row r="88" spans="1:3" x14ac:dyDescent="0.25">
      <c r="A88" s="16"/>
      <c r="B88" s="16"/>
      <c r="C88" s="19"/>
    </row>
    <row r="89" spans="1:3" x14ac:dyDescent="0.25">
      <c r="A89" s="16"/>
      <c r="B89" s="16"/>
      <c r="C89" s="19"/>
    </row>
    <row r="90" spans="1:3" x14ac:dyDescent="0.25">
      <c r="A90" s="16"/>
      <c r="B90" s="16"/>
      <c r="C90" s="19"/>
    </row>
    <row r="91" spans="1:3" x14ac:dyDescent="0.25">
      <c r="A91" s="16"/>
      <c r="B91" s="16"/>
      <c r="C91" s="19"/>
    </row>
    <row r="92" spans="1:3" x14ac:dyDescent="0.25">
      <c r="A92" s="16"/>
      <c r="B92" s="16"/>
      <c r="C92" s="19"/>
    </row>
    <row r="93" spans="1:3" x14ac:dyDescent="0.25">
      <c r="A93" s="16"/>
      <c r="B93" s="16"/>
      <c r="C93" s="19"/>
    </row>
    <row r="94" spans="1:3" x14ac:dyDescent="0.25">
      <c r="A94" s="16"/>
      <c r="B94" s="16"/>
      <c r="C94" s="19"/>
    </row>
    <row r="95" spans="1:3" x14ac:dyDescent="0.25">
      <c r="A95" s="16"/>
      <c r="B95" s="16"/>
      <c r="C95" s="19"/>
    </row>
    <row r="96" spans="1:3" x14ac:dyDescent="0.25">
      <c r="A96" s="16"/>
      <c r="B96" s="16"/>
      <c r="C96" s="19"/>
    </row>
    <row r="97" spans="1:3" x14ac:dyDescent="0.25">
      <c r="A97" s="16"/>
      <c r="B97" s="16"/>
      <c r="C97" s="19"/>
    </row>
    <row r="98" spans="1:3" x14ac:dyDescent="0.25">
      <c r="A98" s="16"/>
      <c r="B98" s="16"/>
      <c r="C98" s="19"/>
    </row>
    <row r="99" spans="1:3" x14ac:dyDescent="0.25">
      <c r="A99" s="16"/>
      <c r="B99" s="16"/>
      <c r="C99" s="19"/>
    </row>
    <row r="100" spans="1:3" x14ac:dyDescent="0.25">
      <c r="A100" s="16"/>
      <c r="B100" s="16"/>
      <c r="C100" s="19"/>
    </row>
    <row r="101" spans="1:3" x14ac:dyDescent="0.25">
      <c r="A101" s="16"/>
      <c r="B101" s="16"/>
      <c r="C101" s="19"/>
    </row>
    <row r="102" spans="1:3" x14ac:dyDescent="0.25">
      <c r="A102" s="16"/>
      <c r="B102" s="16"/>
      <c r="C102" s="19"/>
    </row>
    <row r="103" spans="1:3" x14ac:dyDescent="0.25">
      <c r="A103" s="16"/>
      <c r="B103" s="16"/>
      <c r="C103" s="19"/>
    </row>
    <row r="104" spans="1:3" x14ac:dyDescent="0.25">
      <c r="A104" s="16"/>
      <c r="B104" s="16"/>
      <c r="C104" s="19"/>
    </row>
    <row r="105" spans="1:3" x14ac:dyDescent="0.25">
      <c r="A105" s="16"/>
      <c r="B105" s="16"/>
      <c r="C105" s="19"/>
    </row>
    <row r="106" spans="1:3" x14ac:dyDescent="0.25">
      <c r="A106" s="16"/>
      <c r="B106" s="16"/>
      <c r="C106" s="19"/>
    </row>
    <row r="107" spans="1:3" x14ac:dyDescent="0.25">
      <c r="A107" s="16"/>
      <c r="B107" s="16"/>
      <c r="C107" s="19"/>
    </row>
    <row r="108" spans="1:3" x14ac:dyDescent="0.25">
      <c r="A108" s="16"/>
      <c r="B108" s="16"/>
      <c r="C108" s="19"/>
    </row>
    <row r="109" spans="1:3" x14ac:dyDescent="0.25">
      <c r="A109" s="16"/>
      <c r="B109" s="16"/>
      <c r="C109" s="19"/>
    </row>
    <row r="110" spans="1:3" x14ac:dyDescent="0.25">
      <c r="A110" s="16"/>
      <c r="B110" s="16"/>
      <c r="C110" s="19"/>
    </row>
    <row r="111" spans="1:3" x14ac:dyDescent="0.25">
      <c r="A111" s="16"/>
      <c r="B111" s="16"/>
      <c r="C111" s="19"/>
    </row>
    <row r="112" spans="1:3" x14ac:dyDescent="0.25">
      <c r="A112" s="16"/>
      <c r="B112" s="16"/>
      <c r="C112" s="19"/>
    </row>
    <row r="113" spans="1:3" x14ac:dyDescent="0.25">
      <c r="A113" s="16"/>
      <c r="B113" s="16"/>
      <c r="C113" s="19"/>
    </row>
    <row r="114" spans="1:3" x14ac:dyDescent="0.25">
      <c r="A114" s="16"/>
      <c r="B114" s="16"/>
      <c r="C114" s="19"/>
    </row>
    <row r="115" spans="1:3" x14ac:dyDescent="0.25">
      <c r="A115" s="16"/>
      <c r="B115" s="16"/>
      <c r="C115" s="19"/>
    </row>
    <row r="116" spans="1:3" x14ac:dyDescent="0.25">
      <c r="A116" s="16"/>
      <c r="B116" s="16"/>
      <c r="C116" s="19"/>
    </row>
    <row r="117" spans="1:3" x14ac:dyDescent="0.25">
      <c r="A117" s="16"/>
      <c r="B117" s="16"/>
      <c r="C117" s="19"/>
    </row>
    <row r="118" spans="1:3" x14ac:dyDescent="0.25">
      <c r="A118" s="16"/>
      <c r="B118" s="16"/>
      <c r="C118" s="19"/>
    </row>
    <row r="119" spans="1:3" x14ac:dyDescent="0.25">
      <c r="A119" s="16"/>
      <c r="B119" s="16"/>
      <c r="C119" s="19"/>
    </row>
    <row r="120" spans="1:3" x14ac:dyDescent="0.25">
      <c r="A120" s="16"/>
      <c r="B120" s="16"/>
      <c r="C120" s="19"/>
    </row>
    <row r="121" spans="1:3" x14ac:dyDescent="0.25">
      <c r="A121" s="16"/>
      <c r="B121" s="16"/>
      <c r="C121" s="19"/>
    </row>
    <row r="122" spans="1:3" x14ac:dyDescent="0.25">
      <c r="A122" s="16"/>
      <c r="B122" s="16"/>
      <c r="C122" s="19"/>
    </row>
    <row r="123" spans="1:3" x14ac:dyDescent="0.25">
      <c r="A123" s="16"/>
      <c r="B123" s="16"/>
      <c r="C123" s="19"/>
    </row>
    <row r="124" spans="1:3" x14ac:dyDescent="0.25">
      <c r="A124" s="16"/>
      <c r="B124" s="16"/>
      <c r="C124" s="19"/>
    </row>
    <row r="125" spans="1:3" x14ac:dyDescent="0.25">
      <c r="A125" s="16"/>
      <c r="B125" s="16"/>
      <c r="C125" s="19"/>
    </row>
    <row r="126" spans="1:3" x14ac:dyDescent="0.25">
      <c r="A126" s="16"/>
      <c r="B126" s="16"/>
      <c r="C126" s="19"/>
    </row>
    <row r="127" spans="1:3" x14ac:dyDescent="0.25">
      <c r="A127" s="16"/>
      <c r="B127" s="16"/>
      <c r="C127" s="19"/>
    </row>
  </sheetData>
  <mergeCells count="2">
    <mergeCell ref="A4:B4"/>
    <mergeCell ref="E4:F4"/>
  </mergeCells>
  <dataValidations count="1">
    <dataValidation type="list" allowBlank="1" showInputMessage="1" showErrorMessage="1" sqref="B1:C1" xr:uid="{00000000-0002-0000-0100-000000000000}">
      <formula1>$A$2:$A$3</formula1>
      <formula2>0</formula2>
    </dataValidation>
  </dataValidations>
  <pageMargins left="0.7" right="0.7" top="0.75" bottom="0.75"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CriterioBasadoClasesAnalisis!$C$3:$C$5</xm:f>
          </x14:formula1>
          <x14:formula2>
            <xm:f>0</xm:f>
          </x14:formula2>
          <xm:sqref>C22:C27</xm:sqref>
        </x14:dataValidation>
        <x14:dataValidation type="list" showInputMessage="1" showErrorMessage="1" xr:uid="{00000000-0002-0000-0100-000002000000}">
          <x14:formula1>
            <xm:f>CriterioBasadoClasesAnalisis!$C$16:$C$18</xm:f>
          </x14:formula1>
          <x14:formula2>
            <xm:f>0</xm:f>
          </x14:formula2>
          <xm:sqref>B6:B115</xm:sqref>
        </x14:dataValidation>
        <x14:dataValidation type="list" showInputMessage="1" showErrorMessage="1" xr:uid="{00000000-0002-0000-0100-000003000000}">
          <x14:formula1>
            <xm:f>CriterioBasadoClasesAnalisis!$C$3:$C$5</xm:f>
          </x14:formula1>
          <x14:formula2>
            <xm:f>0</xm:f>
          </x14:formula2>
          <xm:sqref>F6:F25</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9"/>
  <sheetViews>
    <sheetView tabSelected="1" topLeftCell="C1" zoomScale="120" zoomScaleNormal="120" workbookViewId="0">
      <selection activeCell="D25" sqref="D25"/>
    </sheetView>
  </sheetViews>
  <sheetFormatPr baseColWidth="10" defaultColWidth="9.140625" defaultRowHeight="15" x14ac:dyDescent="0.25"/>
  <cols>
    <col min="2" max="2" width="57.85546875" customWidth="1"/>
    <col min="4" max="5" width="9.85546875" customWidth="1"/>
    <col min="7" max="7" width="14.85546875" customWidth="1"/>
    <col min="8" max="8" width="15.7109375" customWidth="1"/>
    <col min="9" max="9" width="22.28515625" customWidth="1"/>
    <col min="10" max="10" width="8.28515625" style="20" customWidth="1"/>
  </cols>
  <sheetData>
    <row r="1" spans="1:10" ht="14.25" customHeight="1" x14ac:dyDescent="0.25">
      <c r="A1" s="50" t="s">
        <v>57</v>
      </c>
      <c r="B1" s="50"/>
      <c r="C1" s="50"/>
      <c r="D1" s="21">
        <f>0.6+(0.01*SUM(E3:E15))</f>
        <v>0.96499999999999997</v>
      </c>
      <c r="I1" s="51" t="s">
        <v>58</v>
      </c>
      <c r="J1" s="51"/>
    </row>
    <row r="2" spans="1:10" x14ac:dyDescent="0.25">
      <c r="A2" s="22" t="s">
        <v>59</v>
      </c>
      <c r="B2" s="22" t="s">
        <v>13</v>
      </c>
      <c r="C2" s="22" t="s">
        <v>60</v>
      </c>
      <c r="D2" s="23" t="s">
        <v>61</v>
      </c>
      <c r="E2" s="22" t="s">
        <v>62</v>
      </c>
      <c r="F2" s="24"/>
      <c r="I2" s="51"/>
      <c r="J2" s="51"/>
    </row>
    <row r="3" spans="1:10" x14ac:dyDescent="0.25">
      <c r="A3" s="2" t="s">
        <v>63</v>
      </c>
      <c r="B3" s="2" t="s">
        <v>64</v>
      </c>
      <c r="C3" s="25">
        <v>2</v>
      </c>
      <c r="D3" s="2">
        <v>2</v>
      </c>
      <c r="E3" s="2">
        <f t="shared" ref="E3:E15" si="0">C3*D3</f>
        <v>4</v>
      </c>
      <c r="I3" s="26" t="s">
        <v>13</v>
      </c>
      <c r="J3" s="27" t="s">
        <v>65</v>
      </c>
    </row>
    <row r="4" spans="1:10" ht="29.25" customHeight="1" x14ac:dyDescent="0.25">
      <c r="A4" s="28" t="s">
        <v>66</v>
      </c>
      <c r="B4" s="2" t="s">
        <v>67</v>
      </c>
      <c r="C4" s="25">
        <v>1</v>
      </c>
      <c r="D4" s="2">
        <v>3</v>
      </c>
      <c r="E4" s="2">
        <f t="shared" si="0"/>
        <v>3</v>
      </c>
      <c r="I4" s="2" t="s">
        <v>68</v>
      </c>
      <c r="J4" s="29" t="s">
        <v>69</v>
      </c>
    </row>
    <row r="5" spans="1:10" x14ac:dyDescent="0.25">
      <c r="A5" s="2" t="s">
        <v>70</v>
      </c>
      <c r="B5" s="2" t="s">
        <v>71</v>
      </c>
      <c r="C5" s="25">
        <v>1</v>
      </c>
      <c r="D5" s="2">
        <v>4</v>
      </c>
      <c r="E5" s="2">
        <f t="shared" si="0"/>
        <v>4</v>
      </c>
      <c r="I5" s="2" t="s">
        <v>6</v>
      </c>
      <c r="J5" s="29" t="s">
        <v>72</v>
      </c>
    </row>
    <row r="6" spans="1:10" x14ac:dyDescent="0.25">
      <c r="A6" s="2" t="s">
        <v>73</v>
      </c>
      <c r="B6" s="2" t="s">
        <v>74</v>
      </c>
      <c r="C6" s="25">
        <v>1</v>
      </c>
      <c r="D6" s="2">
        <v>4</v>
      </c>
      <c r="E6" s="2">
        <f t="shared" si="0"/>
        <v>4</v>
      </c>
      <c r="I6" s="2" t="s">
        <v>75</v>
      </c>
      <c r="J6" s="29">
        <v>5</v>
      </c>
    </row>
    <row r="7" spans="1:10" x14ac:dyDescent="0.25">
      <c r="A7" s="2" t="s">
        <v>76</v>
      </c>
      <c r="B7" s="2" t="s">
        <v>77</v>
      </c>
      <c r="C7" s="25">
        <v>1</v>
      </c>
      <c r="D7" s="2">
        <v>2</v>
      </c>
      <c r="E7" s="2">
        <f t="shared" si="0"/>
        <v>2</v>
      </c>
    </row>
    <row r="8" spans="1:10" x14ac:dyDescent="0.25">
      <c r="A8" s="2" t="s">
        <v>78</v>
      </c>
      <c r="B8" s="2" t="s">
        <v>79</v>
      </c>
      <c r="C8" s="25">
        <v>0.5</v>
      </c>
      <c r="D8" s="2">
        <v>3</v>
      </c>
      <c r="E8" s="2">
        <f t="shared" si="0"/>
        <v>1.5</v>
      </c>
    </row>
    <row r="9" spans="1:10" x14ac:dyDescent="0.25">
      <c r="A9" s="2" t="s">
        <v>80</v>
      </c>
      <c r="B9" s="2" t="s">
        <v>81</v>
      </c>
      <c r="C9" s="25">
        <v>0.5</v>
      </c>
      <c r="D9" s="2">
        <v>4</v>
      </c>
      <c r="E9" s="2">
        <f t="shared" si="0"/>
        <v>2</v>
      </c>
    </row>
    <row r="10" spans="1:10" x14ac:dyDescent="0.25">
      <c r="A10" s="2" t="s">
        <v>82</v>
      </c>
      <c r="B10" s="2" t="s">
        <v>83</v>
      </c>
      <c r="C10" s="25">
        <v>2</v>
      </c>
      <c r="D10" s="2">
        <v>1</v>
      </c>
      <c r="E10" s="2">
        <f t="shared" si="0"/>
        <v>2</v>
      </c>
    </row>
    <row r="11" spans="1:10" x14ac:dyDescent="0.25">
      <c r="A11" s="2" t="s">
        <v>84</v>
      </c>
      <c r="B11" s="2" t="s">
        <v>85</v>
      </c>
      <c r="C11" s="25">
        <v>1</v>
      </c>
      <c r="D11" s="2">
        <v>3</v>
      </c>
      <c r="E11" s="2">
        <f t="shared" si="0"/>
        <v>3</v>
      </c>
    </row>
    <row r="12" spans="1:10" x14ac:dyDescent="0.25">
      <c r="A12" s="2" t="s">
        <v>86</v>
      </c>
      <c r="B12" s="2" t="s">
        <v>87</v>
      </c>
      <c r="C12" s="25">
        <v>1</v>
      </c>
      <c r="D12" s="2">
        <v>3</v>
      </c>
      <c r="E12" s="2">
        <f t="shared" si="0"/>
        <v>3</v>
      </c>
    </row>
    <row r="13" spans="1:10" x14ac:dyDescent="0.25">
      <c r="A13" s="2" t="s">
        <v>88</v>
      </c>
      <c r="B13" s="2" t="s">
        <v>89</v>
      </c>
      <c r="C13" s="25">
        <v>1</v>
      </c>
      <c r="D13" s="2">
        <v>3</v>
      </c>
      <c r="E13" s="2">
        <f t="shared" si="0"/>
        <v>3</v>
      </c>
    </row>
    <row r="14" spans="1:10" x14ac:dyDescent="0.25">
      <c r="A14" s="2" t="s">
        <v>90</v>
      </c>
      <c r="B14" s="2" t="s">
        <v>91</v>
      </c>
      <c r="C14" s="25">
        <v>1</v>
      </c>
      <c r="D14" s="2">
        <v>4</v>
      </c>
      <c r="E14" s="2">
        <f t="shared" si="0"/>
        <v>4</v>
      </c>
    </row>
    <row r="15" spans="1:10" x14ac:dyDescent="0.25">
      <c r="A15" s="2" t="s">
        <v>92</v>
      </c>
      <c r="B15" s="2" t="s">
        <v>93</v>
      </c>
      <c r="C15" s="25">
        <v>1</v>
      </c>
      <c r="D15" s="2">
        <v>1</v>
      </c>
      <c r="E15" s="2">
        <f t="shared" si="0"/>
        <v>1</v>
      </c>
    </row>
    <row r="16" spans="1:10" ht="17.25" customHeight="1" x14ac:dyDescent="0.25">
      <c r="A16" s="52" t="s">
        <v>94</v>
      </c>
      <c r="B16" s="52"/>
      <c r="C16" s="52"/>
      <c r="D16" s="21">
        <f>1.4-(0.03*SUM(E18:E25))</f>
        <v>0.83</v>
      </c>
      <c r="G16" s="52" t="s">
        <v>95</v>
      </c>
      <c r="H16" s="52"/>
      <c r="I16" s="52"/>
      <c r="J16" s="30">
        <f>'PCU-Ajustado'!C3*IF(I20&lt;=2,20,IF(AND(I20&gt;2,I20&lt;=4),28,36))</f>
        <v>2146.5459999999998</v>
      </c>
    </row>
    <row r="17" spans="1:9" x14ac:dyDescent="0.25">
      <c r="A17" s="31" t="s">
        <v>3</v>
      </c>
      <c r="B17" s="31" t="s">
        <v>13</v>
      </c>
      <c r="C17" s="31" t="s">
        <v>60</v>
      </c>
      <c r="D17" s="32" t="s">
        <v>61</v>
      </c>
      <c r="E17" s="31" t="s">
        <v>62</v>
      </c>
      <c r="F17" s="33"/>
      <c r="G17" s="33" t="s">
        <v>3</v>
      </c>
      <c r="H17" s="33" t="s">
        <v>96</v>
      </c>
      <c r="I17" s="33" t="s">
        <v>97</v>
      </c>
    </row>
    <row r="18" spans="1:9" x14ac:dyDescent="0.25">
      <c r="A18" s="2" t="s">
        <v>98</v>
      </c>
      <c r="B18" s="2" t="s">
        <v>99</v>
      </c>
      <c r="C18" s="25">
        <v>1.5</v>
      </c>
      <c r="D18" s="2">
        <v>3</v>
      </c>
      <c r="E18" s="2">
        <f t="shared" ref="E18:E25" si="1">C18*D18</f>
        <v>4.5</v>
      </c>
      <c r="G18" t="s">
        <v>100</v>
      </c>
      <c r="H18" t="s">
        <v>101</v>
      </c>
      <c r="I18">
        <f>COUNTIF(D18:D23,"&lt;3")</f>
        <v>1</v>
      </c>
    </row>
    <row r="19" spans="1:9" x14ac:dyDescent="0.25">
      <c r="A19" s="2" t="s">
        <v>102</v>
      </c>
      <c r="B19" s="2" t="s">
        <v>103</v>
      </c>
      <c r="C19" s="25">
        <v>0.5</v>
      </c>
      <c r="D19" s="2">
        <v>2</v>
      </c>
      <c r="E19" s="2">
        <f t="shared" si="1"/>
        <v>1</v>
      </c>
      <c r="G19" t="s">
        <v>104</v>
      </c>
      <c r="H19" t="s">
        <v>105</v>
      </c>
      <c r="I19">
        <f>COUNTIF(D24:D25,"&gt;3")</f>
        <v>0</v>
      </c>
    </row>
    <row r="20" spans="1:9" x14ac:dyDescent="0.25">
      <c r="A20" s="2" t="s">
        <v>106</v>
      </c>
      <c r="B20" s="2" t="s">
        <v>107</v>
      </c>
      <c r="C20" s="25">
        <v>1</v>
      </c>
      <c r="D20" s="2">
        <v>3</v>
      </c>
      <c r="E20" s="2">
        <f t="shared" si="1"/>
        <v>3</v>
      </c>
      <c r="H20" s="34" t="s">
        <v>97</v>
      </c>
      <c r="I20" s="34">
        <f>SUM(I18:I19)</f>
        <v>1</v>
      </c>
    </row>
    <row r="21" spans="1:9" x14ac:dyDescent="0.25">
      <c r="A21" s="2" t="s">
        <v>108</v>
      </c>
      <c r="B21" s="2" t="s">
        <v>109</v>
      </c>
      <c r="C21" s="25">
        <v>0.5</v>
      </c>
      <c r="D21" s="2">
        <v>3</v>
      </c>
      <c r="E21" s="2">
        <f t="shared" si="1"/>
        <v>1.5</v>
      </c>
      <c r="G21" s="53" t="s">
        <v>110</v>
      </c>
      <c r="H21" s="53"/>
      <c r="I21" s="53"/>
    </row>
    <row r="22" spans="1:9" x14ac:dyDescent="0.25">
      <c r="A22" s="2" t="s">
        <v>111</v>
      </c>
      <c r="B22" s="2" t="s">
        <v>112</v>
      </c>
      <c r="C22" s="25">
        <v>1</v>
      </c>
      <c r="D22" s="2">
        <v>3</v>
      </c>
      <c r="E22" s="2">
        <f t="shared" si="1"/>
        <v>3</v>
      </c>
      <c r="G22" s="35" t="s">
        <v>113</v>
      </c>
      <c r="H22" s="35" t="s">
        <v>2</v>
      </c>
    </row>
    <row r="23" spans="1:9" x14ac:dyDescent="0.25">
      <c r="A23" s="2" t="s">
        <v>114</v>
      </c>
      <c r="B23" s="2" t="s">
        <v>115</v>
      </c>
      <c r="C23" s="25">
        <v>2</v>
      </c>
      <c r="D23" s="2">
        <v>4</v>
      </c>
      <c r="E23" s="2">
        <f t="shared" si="1"/>
        <v>8</v>
      </c>
      <c r="G23" s="29">
        <v>20</v>
      </c>
      <c r="H23" s="29" t="s">
        <v>116</v>
      </c>
    </row>
    <row r="24" spans="1:9" x14ac:dyDescent="0.25">
      <c r="A24" s="2" t="s">
        <v>117</v>
      </c>
      <c r="B24" s="2" t="s">
        <v>118</v>
      </c>
      <c r="C24" s="25">
        <v>-1</v>
      </c>
      <c r="D24" s="2">
        <v>0</v>
      </c>
      <c r="E24" s="2">
        <f t="shared" si="1"/>
        <v>0</v>
      </c>
      <c r="G24" s="29">
        <v>28</v>
      </c>
      <c r="H24" s="29" t="s">
        <v>119</v>
      </c>
    </row>
    <row r="25" spans="1:9" x14ac:dyDescent="0.25">
      <c r="A25" s="2" t="s">
        <v>120</v>
      </c>
      <c r="B25" s="2" t="s">
        <v>121</v>
      </c>
      <c r="C25" s="25">
        <v>-1</v>
      </c>
      <c r="D25" s="2">
        <v>2</v>
      </c>
      <c r="E25" s="2">
        <f t="shared" si="1"/>
        <v>-2</v>
      </c>
      <c r="G25" s="29">
        <v>36</v>
      </c>
      <c r="H25" s="29" t="s">
        <v>122</v>
      </c>
    </row>
    <row r="27" spans="1:9" x14ac:dyDescent="0.25">
      <c r="D27">
        <v>1</v>
      </c>
      <c r="E27" t="s">
        <v>123</v>
      </c>
    </row>
    <row r="28" spans="1:9" x14ac:dyDescent="0.25">
      <c r="D28">
        <v>3</v>
      </c>
      <c r="E28" t="s">
        <v>124</v>
      </c>
    </row>
    <row r="29" spans="1:9" x14ac:dyDescent="0.25">
      <c r="D29">
        <v>5</v>
      </c>
      <c r="E29" t="s">
        <v>125</v>
      </c>
    </row>
  </sheetData>
  <mergeCells count="5">
    <mergeCell ref="A1:C1"/>
    <mergeCell ref="I1:J2"/>
    <mergeCell ref="A16:C16"/>
    <mergeCell ref="G16:I16"/>
    <mergeCell ref="G21:I21"/>
  </mergeCells>
  <dataValidations count="1">
    <dataValidation type="list" showInputMessage="1" showErrorMessage="1" sqref="D3:D15 D18:D25" xr:uid="{00000000-0002-0000-0200-000000000000}">
      <formula1>"0,1,2,3,4,5"</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
  <sheetViews>
    <sheetView zoomScale="120" zoomScaleNormal="120" workbookViewId="0">
      <selection activeCell="C3" sqref="C3"/>
    </sheetView>
  </sheetViews>
  <sheetFormatPr baseColWidth="10" defaultColWidth="10.7109375" defaultRowHeight="15" x14ac:dyDescent="0.25"/>
  <sheetData>
    <row r="1" spans="1:6" ht="71.25" customHeight="1" x14ac:dyDescent="0.25">
      <c r="A1" s="54" t="s">
        <v>126</v>
      </c>
      <c r="B1" s="54"/>
      <c r="C1" s="54"/>
      <c r="D1" s="54"/>
      <c r="E1" s="54"/>
      <c r="F1" s="54"/>
    </row>
    <row r="3" spans="1:6" ht="21" x14ac:dyDescent="0.35">
      <c r="C3" s="36">
        <f>'PCU-sinAjustar'!B3*Factores!D1*Factores!D16</f>
        <v>107.32729999999999</v>
      </c>
    </row>
  </sheetData>
  <mergeCells count="1">
    <mergeCell ref="A1:F1"/>
  </mergeCells>
  <pageMargins left="0.7" right="0.7" top="0.75" bottom="0.75"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7:I25"/>
  <sheetViews>
    <sheetView zoomScale="120" zoomScaleNormal="120" workbookViewId="0">
      <selection activeCell="D41" sqref="D41"/>
    </sheetView>
  </sheetViews>
  <sheetFormatPr baseColWidth="10" defaultColWidth="10.7109375" defaultRowHeight="15" x14ac:dyDescent="0.25"/>
  <cols>
    <col min="2" max="2" width="28" customWidth="1"/>
    <col min="3" max="3" width="12.28515625" customWidth="1"/>
    <col min="4" max="4" width="31.85546875" customWidth="1"/>
    <col min="5" max="5" width="29.85546875" customWidth="1"/>
  </cols>
  <sheetData>
    <row r="7" spans="1:9" x14ac:dyDescent="0.25">
      <c r="A7" s="55" t="s">
        <v>127</v>
      </c>
      <c r="B7" s="55"/>
      <c r="C7" s="55"/>
      <c r="D7" s="55"/>
      <c r="E7" s="55"/>
      <c r="F7" s="55"/>
      <c r="G7" s="55"/>
      <c r="H7" s="55"/>
      <c r="I7" s="55"/>
    </row>
    <row r="9" spans="1:9" x14ac:dyDescent="0.25">
      <c r="B9" s="37" t="s">
        <v>128</v>
      </c>
      <c r="C9" s="37" t="s">
        <v>129</v>
      </c>
      <c r="D9" s="37" t="s">
        <v>130</v>
      </c>
      <c r="E9" s="37" t="s">
        <v>131</v>
      </c>
    </row>
    <row r="10" spans="1:9" x14ac:dyDescent="0.25">
      <c r="B10" s="2" t="s">
        <v>132</v>
      </c>
      <c r="C10" s="2">
        <v>15</v>
      </c>
      <c r="D10" s="2">
        <f>($C$10*$D$15)/100</f>
        <v>804.95474999999988</v>
      </c>
      <c r="E10" s="2">
        <f>$D$10/8</f>
        <v>100.61934374999998</v>
      </c>
    </row>
    <row r="11" spans="1:9" x14ac:dyDescent="0.25">
      <c r="B11" s="2" t="s">
        <v>133</v>
      </c>
      <c r="C11" s="2">
        <v>20</v>
      </c>
      <c r="D11" s="2">
        <f>($C$11*$D$15)/100</f>
        <v>1073.2729999999999</v>
      </c>
      <c r="E11" s="2">
        <f>$D$11/8</f>
        <v>134.15912499999999</v>
      </c>
    </row>
    <row r="12" spans="1:9" x14ac:dyDescent="0.25">
      <c r="B12" s="38" t="s">
        <v>134</v>
      </c>
      <c r="C12" s="38">
        <v>40</v>
      </c>
      <c r="D12" s="37">
        <f>Factores!$J$16</f>
        <v>2146.5459999999998</v>
      </c>
      <c r="E12" s="38">
        <f>$D$12/8</f>
        <v>268.31824999999998</v>
      </c>
    </row>
    <row r="13" spans="1:9" x14ac:dyDescent="0.25">
      <c r="B13" s="2" t="s">
        <v>135</v>
      </c>
      <c r="C13" s="2">
        <v>20</v>
      </c>
      <c r="D13" s="2">
        <f>($C$13*$D$15)/$C$15</f>
        <v>1073.2729999999999</v>
      </c>
      <c r="E13" s="2">
        <f>$D$13/8</f>
        <v>134.15912499999999</v>
      </c>
    </row>
    <row r="14" spans="1:9" x14ac:dyDescent="0.25">
      <c r="B14" s="2" t="s">
        <v>136</v>
      </c>
      <c r="C14" s="2">
        <v>5</v>
      </c>
      <c r="D14" s="2">
        <f>($C$14*$D$15)/100</f>
        <v>268.31824999999998</v>
      </c>
      <c r="E14" s="2">
        <f>$D$14/8</f>
        <v>33.539781249999997</v>
      </c>
    </row>
    <row r="15" spans="1:9" x14ac:dyDescent="0.25">
      <c r="B15" s="37" t="s">
        <v>97</v>
      </c>
      <c r="C15" s="37">
        <f>SUM(C10:C14)</f>
        <v>100</v>
      </c>
      <c r="D15" s="37">
        <f>($C$15*$D$12)/$C$12</f>
        <v>5366.3649999999998</v>
      </c>
      <c r="E15" s="37">
        <f>$D$15/8</f>
        <v>670.79562499999997</v>
      </c>
    </row>
    <row r="17" spans="2:6" x14ac:dyDescent="0.25">
      <c r="B17" s="37" t="s">
        <v>137</v>
      </c>
      <c r="E17" s="37" t="s">
        <v>138</v>
      </c>
    </row>
    <row r="18" spans="2:6" x14ac:dyDescent="0.25">
      <c r="B18" s="21" t="s">
        <v>139</v>
      </c>
      <c r="C18" s="21">
        <f>$D$15/8</f>
        <v>670.79562499999997</v>
      </c>
      <c r="E18" s="21" t="s">
        <v>139</v>
      </c>
      <c r="F18" s="21">
        <f>$D$12/8</f>
        <v>268.31824999999998</v>
      </c>
    </row>
    <row r="19" spans="2:6" x14ac:dyDescent="0.25">
      <c r="B19" s="21" t="s">
        <v>140</v>
      </c>
      <c r="C19" s="21">
        <f>$C$18/20</f>
        <v>33.539781249999997</v>
      </c>
      <c r="E19" s="21" t="s">
        <v>140</v>
      </c>
      <c r="F19" s="21">
        <f>$F$18/20</f>
        <v>13.415912499999999</v>
      </c>
    </row>
    <row r="22" spans="2:6" x14ac:dyDescent="0.25">
      <c r="B22" s="42" t="s">
        <v>141</v>
      </c>
      <c r="E22" s="42" t="s">
        <v>141</v>
      </c>
    </row>
    <row r="23" spans="2:6" x14ac:dyDescent="0.25">
      <c r="B23" s="37" t="s">
        <v>137</v>
      </c>
      <c r="E23" s="37" t="s">
        <v>138</v>
      </c>
    </row>
    <row r="24" spans="2:6" x14ac:dyDescent="0.25">
      <c r="B24" s="21" t="s">
        <v>139</v>
      </c>
      <c r="C24" s="21">
        <f>($D$15/8)/4</f>
        <v>167.69890624999999</v>
      </c>
      <c r="E24" s="21" t="s">
        <v>139</v>
      </c>
      <c r="F24" s="21">
        <f>($D$12/8)/4</f>
        <v>67.079562499999994</v>
      </c>
    </row>
    <row r="25" spans="2:6" x14ac:dyDescent="0.25">
      <c r="B25" s="21" t="s">
        <v>140</v>
      </c>
      <c r="C25" s="21">
        <f>($C$18/20)/4</f>
        <v>8.3849453124999993</v>
      </c>
      <c r="E25" s="21" t="s">
        <v>140</v>
      </c>
      <c r="F25" s="21">
        <f>($F$18/20)/4</f>
        <v>3.3539781249999998</v>
      </c>
    </row>
  </sheetData>
  <mergeCells count="1">
    <mergeCell ref="A7:I7"/>
  </mergeCells>
  <pageMargins left="0.7" right="0.7" top="0.75" bottom="0.75" header="0.511811023622047" footer="0.511811023622047"/>
  <pageSetup paperSize="9" orientation="portrait" horizontalDpi="300" verticalDpi="30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EA7788BB74144C4E82456A165D5E80F7" ma:contentTypeVersion="3" ma:contentTypeDescription="Crear nuevo documento." ma:contentTypeScope="" ma:versionID="7772c62673c76dec0fd7ef0f43887fbf">
  <xsd:schema xmlns:xsd="http://www.w3.org/2001/XMLSchema" xmlns:xs="http://www.w3.org/2001/XMLSchema" xmlns:p="http://schemas.microsoft.com/office/2006/metadata/properties" xmlns:ns2="3d2ce1d5-7ded-494d-8056-a72947510cdc" targetNamespace="http://schemas.microsoft.com/office/2006/metadata/properties" ma:root="true" ma:fieldsID="0be6594385353ac4d007136a77b2394c" ns2:_="">
    <xsd:import namespace="3d2ce1d5-7ded-494d-8056-a72947510cdc"/>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d2ce1d5-7ded-494d-8056-a72947510c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6944D40-E467-4DD6-A6FD-F67719449E4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d2ce1d5-7ded-494d-8056-a72947510c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CriterioBasadoClasesAnalisis</vt:lpstr>
      <vt:lpstr>PCU-sinAjustar</vt:lpstr>
      <vt:lpstr>Factores</vt:lpstr>
      <vt:lpstr>PCU-Ajustado</vt:lpstr>
      <vt:lpstr>RESULTADO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Jonathan Nahuel Mora Colodrero</cp:lastModifiedBy>
  <cp:revision>1</cp:revision>
  <dcterms:created xsi:type="dcterms:W3CDTF">2006-09-16T00:00:00Z</dcterms:created>
  <dcterms:modified xsi:type="dcterms:W3CDTF">2026-05-27T14:22:11Z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0x010100EA7788BB74144C4E82456A165D5E80F7</vt:lpwstr>
  </property>
</Properties>
</file>