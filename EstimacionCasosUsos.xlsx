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1"/>
  <workbookPr/>
  <xr:revisionPtr revIDLastSave="0" documentId="8_{7DA6FC0E-18F4-4AC5-9C81-DB91C7A9858F}" xr6:coauthVersionLast="47" xr6:coauthVersionMax="47" xr10:uidLastSave="{00000000-0000-0000-0000-000000000000}"/>
  <bookViews>
    <workbookView xWindow="0" yWindow="0" windowWidth="16384" windowHeight="8192" tabRatio="500" firstSheet="4" activeTab="1" xr2:uid="{00000000-000D-0000-FFFF-FFFF00000000}"/>
  </bookViews>
  <sheets>
    <sheet name="CriterioBasadoClasesAnalisis" sheetId="1" r:id="rId1"/>
    <sheet name="PCU-sinAjustar" sheetId="2" r:id="rId2"/>
    <sheet name="Factores" sheetId="3" r:id="rId3"/>
    <sheet name="PCU-Ajustado" sheetId="4" r:id="rId4"/>
    <sheet name="RESULTADO" sheetId="5" r:id="rId5"/>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9" i="2" l="1"/>
  <c r="C10" i="2"/>
  <c r="C15" i="5"/>
  <c r="E25" i="3"/>
  <c r="E24" i="3"/>
  <c r="E23" i="3"/>
  <c r="E22" i="3"/>
  <c r="E21" i="3"/>
  <c r="E20" i="3"/>
  <c r="I19" i="3"/>
  <c r="E19" i="3"/>
  <c r="I18" i="3"/>
  <c r="I20" i="3" s="1"/>
  <c r="E18" i="3"/>
  <c r="D16" i="3"/>
  <c r="E15" i="3"/>
  <c r="E14" i="3"/>
  <c r="E13" i="3"/>
  <c r="E12" i="3"/>
  <c r="E11" i="3"/>
  <c r="E10" i="3"/>
  <c r="E9" i="3"/>
  <c r="E8" i="3"/>
  <c r="E7" i="3"/>
  <c r="E6" i="3"/>
  <c r="E5" i="3"/>
  <c r="E4" i="3"/>
  <c r="E3" i="3"/>
  <c r="D1" i="3"/>
  <c r="F30" i="2"/>
  <c r="F31" i="2" s="1"/>
  <c r="F28" i="2"/>
  <c r="F29" i="2" s="1"/>
  <c r="F26" i="2"/>
  <c r="F27" i="2" s="1"/>
  <c r="C12" i="2"/>
  <c r="C13" i="2" s="1"/>
  <c r="C6" i="2"/>
  <c r="C7" i="2" s="1"/>
  <c r="G4" i="2"/>
  <c r="C4" i="2"/>
  <c r="B3" i="2"/>
  <c r="C3" i="4" s="1"/>
  <c r="J16" i="3" s="1"/>
  <c r="D12" i="5" s="1"/>
  <c r="F24" i="5" s="1"/>
  <c r="F18" i="5" l="1"/>
  <c r="E12" i="5"/>
  <c r="D15" i="5"/>
  <c r="C24" i="5" l="1"/>
  <c r="D10" i="5"/>
  <c r="F19" i="5"/>
  <c r="F25" i="5"/>
  <c r="C18" i="5"/>
  <c r="E15" i="5"/>
  <c r="D14" i="5"/>
  <c r="E14" i="5" s="1"/>
  <c r="D13" i="5"/>
  <c r="E13" i="5" s="1"/>
  <c r="D11" i="5"/>
  <c r="E11" i="5" s="1"/>
  <c r="E10" i="5"/>
  <c r="C19" i="5" l="1"/>
  <c r="C25"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G16" authorId="0" shapeId="0" xr:uid="{00000000-0006-0000-0200-000001000000}">
      <text>
        <r>
          <rPr>
            <sz val="10"/>
            <rFont val="Arial"/>
            <family val="2"/>
          </rPr>
          <t xml:space="preserve">Autor:
</t>
        </r>
        <r>
          <rPr>
            <sz val="9"/>
            <color rgb="FF000000"/>
            <rFont val="Tahoma"/>
            <family val="2"/>
            <charset val="1"/>
          </rPr>
          <t xml:space="preserve">Este cálculo se realiza con el fin de tener una aproximación del esfuerzo, pensando solo en el desarrollo según las funcionalidades de los casos de uso. Anteriormente, se sugería utilizar 20 horas persona por UCP, pero a través del tiempo se ha ido mejorando. Está basado en los factores ambientales y se calcula de la siguiente manera:
Primero se debe contar la cantidad de factores ambientales del E1 al E6 que tienen una puntuación menor a 3, también contar la cantidad de estos mismos del E7 y E8 que son mayores que 3.
E=UCP * Horas/hombre
</t>
        </r>
      </text>
    </comment>
  </commentList>
</comments>
</file>

<file path=xl/sharedStrings.xml><?xml version="1.0" encoding="utf-8"?>
<sst xmlns="http://schemas.openxmlformats.org/spreadsheetml/2006/main" count="174" uniqueCount="142">
  <si>
    <t>Peso de los actores sin ajustar</t>
  </si>
  <si>
    <t>Tipo</t>
  </si>
  <si>
    <t>Descripcion</t>
  </si>
  <si>
    <t>Factor</t>
  </si>
  <si>
    <t>Simple</t>
  </si>
  <si>
    <t>Otro sistema que interactúa con el sistema a desarrollar mediante una interfaz de programación de aplicaciones (API).</t>
  </si>
  <si>
    <t>Medio</t>
  </si>
  <si>
    <t>Otro sistema interactuando a través de un protocolo (ej. TCP/IP, SSH, FTP) o una persona interactuando a través de una interfaz en modo texto.</t>
  </si>
  <si>
    <t>Complejo</t>
  </si>
  <si>
    <t>Una persona que interactúa con el sistema mediante una interfaz gráfica (GUI).</t>
  </si>
  <si>
    <t>Factor de peso de los casos de uso sin ajustar (UUCW)</t>
  </si>
  <si>
    <t>Basado en las transacciones (interacción entre el usuario y el sistema)</t>
  </si>
  <si>
    <t>Tipo de caso de uso</t>
  </si>
  <si>
    <t>Descripción</t>
  </si>
  <si>
    <t>3 transacciones o menos</t>
  </si>
  <si>
    <t>4 a 7 transacciones</t>
  </si>
  <si>
    <t>más de 7 transacciones</t>
  </si>
  <si>
    <t>Basado en clases de análisis (cantidad de clases que tiene un UC)</t>
  </si>
  <si>
    <t>Menos de 5 clases</t>
  </si>
  <si>
    <t>5 a 10 clases</t>
  </si>
  <si>
    <t>Más de 10 clases</t>
  </si>
  <si>
    <t>Basado en clases de análisis</t>
  </si>
  <si>
    <t xml:space="preserve">Puntos de Casos de uso sin ajustar (UUCP) =  </t>
  </si>
  <si>
    <t>UUCW: Factor de peso de los casos de uso sin ajustar</t>
  </si>
  <si>
    <t>UAW: Factor de peso de los actores 
sin ajustar</t>
  </si>
  <si>
    <t>Caso de uso</t>
  </si>
  <si>
    <t>Peso sin ajustar</t>
  </si>
  <si>
    <t>Tipo Simple = 5</t>
  </si>
  <si>
    <t>Actor</t>
  </si>
  <si>
    <t>Autenticar Usuario</t>
  </si>
  <si>
    <t>Administrador</t>
  </si>
  <si>
    <t>Gestionar Usuarios (ABMC)</t>
  </si>
  <si>
    <t>Encargado</t>
  </si>
  <si>
    <t>Gestionar Organizaciones (ABMC)</t>
  </si>
  <si>
    <t>Tipo Medio = 10</t>
  </si>
  <si>
    <t>Cajero</t>
  </si>
  <si>
    <t>Gestionar Sucursales (ABMC)</t>
  </si>
  <si>
    <t>Vendedor</t>
  </si>
  <si>
    <t>Gestionar Clientes (ABMC)</t>
  </si>
  <si>
    <t>API Validación Teléfono</t>
  </si>
  <si>
    <t>Gestionar Categorías (ABMC)</t>
  </si>
  <si>
    <t>Tipo Complejo=15</t>
  </si>
  <si>
    <t>API Validación Crédito</t>
  </si>
  <si>
    <t>Gestionar Productos (ABMC)</t>
  </si>
  <si>
    <t>Administrar Stock</t>
  </si>
  <si>
    <t>Registrar Venta</t>
  </si>
  <si>
    <t>Emitir Factura</t>
  </si>
  <si>
    <t>Emitir Nota de Crédito</t>
  </si>
  <si>
    <t>Gestionar Solicitud de Crédito</t>
  </si>
  <si>
    <t>Generar Contrato de Crédito</t>
  </si>
  <si>
    <t>Gestionar Scoring Cliente</t>
  </si>
  <si>
    <t>Generar Reporte de Ventas</t>
  </si>
  <si>
    <t>Generar Reporte de Productos</t>
  </si>
  <si>
    <t>Calcular Comisiones y Bonos</t>
  </si>
  <si>
    <t>Subtotal tipo Simple = 1</t>
  </si>
  <si>
    <t>Subtotal tipo Medio=2</t>
  </si>
  <si>
    <t>Subtotal tipo Complejo=3</t>
  </si>
  <si>
    <t>Factor de complejidad tecnica</t>
  </si>
  <si>
    <t>Escala de los factores de 
complejidad técnica (Influencia).</t>
  </si>
  <si>
    <t xml:space="preserve">Factor </t>
  </si>
  <si>
    <t>Peso</t>
  </si>
  <si>
    <t>Influencia</t>
  </si>
  <si>
    <t>Resultado</t>
  </si>
  <si>
    <t>T1</t>
  </si>
  <si>
    <t>Sistema distribuido</t>
  </si>
  <si>
    <t>Valor</t>
  </si>
  <si>
    <t>T2</t>
  </si>
  <si>
    <t>Objetivos de performance o tiempo de respuesta.</t>
  </si>
  <si>
    <t>Irrelevante</t>
  </si>
  <si>
    <t>De 0 a 2.</t>
  </si>
  <si>
    <t>T3</t>
  </si>
  <si>
    <t>Eficiencia del usuario final (facilidad con la que el usuario puede interactuar con el sistema y completar sus tareas)</t>
  </si>
  <si>
    <t>De 3 a 4.</t>
  </si>
  <si>
    <t>T4</t>
  </si>
  <si>
    <t>Procesamiento interno complejo.</t>
  </si>
  <si>
    <t>Esencial</t>
  </si>
  <si>
    <t>T5</t>
  </si>
  <si>
    <t>El código debe ser reutilizable.</t>
  </si>
  <si>
    <t>T6</t>
  </si>
  <si>
    <t>Facilidad de instalación</t>
  </si>
  <si>
    <t>T7</t>
  </si>
  <si>
    <t>Facilidad de uso – interfaz grafica</t>
  </si>
  <si>
    <t>T8</t>
  </si>
  <si>
    <t>Portabilidad</t>
  </si>
  <si>
    <t>T9</t>
  </si>
  <si>
    <t>Facilidad de cambio</t>
  </si>
  <si>
    <t>T10</t>
  </si>
  <si>
    <t>Concurrencia</t>
  </si>
  <si>
    <t>T11</t>
  </si>
  <si>
    <t>Incluye objetivos especiales de seguridad</t>
  </si>
  <si>
    <t>T12</t>
  </si>
  <si>
    <t>Provee acceso directo a terceras partes.</t>
  </si>
  <si>
    <t>T13</t>
  </si>
  <si>
    <t>Se requiere facilidades especiales de entrenamiento a usuario.</t>
  </si>
  <si>
    <t>Factores ambientales</t>
  </si>
  <si>
    <t>Esfuerzo horas-hombre (E)</t>
  </si>
  <si>
    <t>Filtro</t>
  </si>
  <si>
    <t>TOTAL</t>
  </si>
  <si>
    <t>E1</t>
  </si>
  <si>
    <t>Familiaridad con el modelo de proyecto utilizado</t>
  </si>
  <si>
    <t>E1 a E6</t>
  </si>
  <si>
    <t>menor que 3</t>
  </si>
  <si>
    <t>E2</t>
  </si>
  <si>
    <t>Experiencia en la aplicación.</t>
  </si>
  <si>
    <t>E7 y E8</t>
  </si>
  <si>
    <t>mayor que 3</t>
  </si>
  <si>
    <t>E3</t>
  </si>
  <si>
    <t>Experiencia en orientación a objetos.</t>
  </si>
  <si>
    <t>E4</t>
  </si>
  <si>
    <t>Capacidad del analista lider</t>
  </si>
  <si>
    <t>Cantidad Horas/Personas segun el valor</t>
  </si>
  <si>
    <t>E5</t>
  </si>
  <si>
    <t>Motivación</t>
  </si>
  <si>
    <t>Horas/Personas</t>
  </si>
  <si>
    <t>E6</t>
  </si>
  <si>
    <t>Estabilidad en los requerimientos</t>
  </si>
  <si>
    <t>si el valor es &lt;= 2</t>
  </si>
  <si>
    <t>E7</t>
  </si>
  <si>
    <t>Personal part-time</t>
  </si>
  <si>
    <t>si el valor es &lt;=4</t>
  </si>
  <si>
    <t>E8</t>
  </si>
  <si>
    <t>Dificultad del lenguaje de programación</t>
  </si>
  <si>
    <t>si el valor es &gt;=5</t>
  </si>
  <si>
    <t xml:space="preserve">El factor tiene un fuerte impacto negativo, </t>
  </si>
  <si>
    <t>impacto medio</t>
  </si>
  <si>
    <t>El factor tiene un fuerte impacto positivo</t>
  </si>
  <si>
    <t>AUCP: Puntos de casos de uso ajustados.</t>
  </si>
  <si>
    <t>En la siguiente tabla se detallan la distribución en porcentaje, para el esfuerzo total en el desarrollo del proyecto:</t>
  </si>
  <si>
    <t>ACTIVIDAD</t>
  </si>
  <si>
    <t>PORCENTAJE</t>
  </si>
  <si>
    <t>ESFUERZO ESTIMADO HS/HOMBRE</t>
  </si>
  <si>
    <t>Esfuerzo estimado dias/personas</t>
  </si>
  <si>
    <t>Análisis</t>
  </si>
  <si>
    <t>Diseño</t>
  </si>
  <si>
    <t>Programación</t>
  </si>
  <si>
    <t>Pruebas</t>
  </si>
  <si>
    <t>Despliegue</t>
  </si>
  <si>
    <t>Estimación total del proyecto</t>
  </si>
  <si>
    <t>Estimación de la codificación</t>
  </si>
  <si>
    <t>DÍAS (8 HORAS PRODUCTIVAS)</t>
  </si>
  <si>
    <t>MESES (20 DÍAS HÁBILES)</t>
  </si>
  <si>
    <t>Equipo de 4 personas: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</si>
</sst>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charset val="1"/>
    </font>
    <font>
      <sz val="11"/>
      <color theme="1"/>
      <name val="Calibri"/>
      <scheme val="minor"/>
    </font>
    <font>
      <b/>
      <sz val="11"/>
      <color theme="1"/>
      <name val="Arial"/>
      <family val="2"/>
      <charset val="1"/>
    </font>
    <font>
      <b/>
      <sz val="11"/>
      <color theme="1"/>
      <name val="Calibri"/>
      <family val="2"/>
      <charset val="1"/>
    </font>
    <font>
      <b/>
      <sz val="11"/>
      <color rgb="FF000000"/>
      <name val="Arial"/>
      <family val="2"/>
      <charset val="1"/>
    </font>
    <font>
      <b/>
      <sz val="11"/>
      <color rgb="FF202122"/>
      <name val="Arial"/>
      <family val="2"/>
      <charset val="1"/>
    </font>
    <font>
      <b/>
      <sz val="11"/>
      <color rgb="FF000000"/>
      <name val="Calibri"/>
      <family val="2"/>
      <charset val="1"/>
    </font>
    <font>
      <sz val="10"/>
      <name val="Arial"/>
      <family val="2"/>
    </font>
    <font>
      <sz val="9"/>
      <color rgb="FF000000"/>
      <name val="Tahoma"/>
      <family val="2"/>
      <charset val="1"/>
    </font>
    <font>
      <b/>
      <sz val="16"/>
      <color theme="1"/>
      <name val="Calibri"/>
      <family val="2"/>
      <charset val="1"/>
    </font>
    <font>
      <b/>
      <sz val="11"/>
      <color theme="1"/>
      <name val="Calibri"/>
      <scheme val="minor"/>
    </font>
    <font>
      <b/>
      <sz val="11"/>
      <color rgb="FF000000"/>
      <name val="Calibri"/>
    </font>
  </fonts>
  <fills count="8">
    <fill>
      <patternFill patternType="none"/>
    </fill>
    <fill>
      <patternFill patternType="gray125"/>
    </fill>
    <fill>
      <patternFill patternType="solid">
        <fgColor rgb="FFFFFF00"/>
        <bgColor rgb="FFFFFF00"/>
      </patternFill>
    </fill>
    <fill>
      <patternFill patternType="solid">
        <fgColor theme="6" tint="0.59987182226020086"/>
        <bgColor rgb="FFDDD9C3"/>
      </patternFill>
    </fill>
    <fill>
      <patternFill patternType="solid">
        <fgColor theme="6" tint="0.79989013336588644"/>
        <bgColor rgb="FFDCE6F2"/>
      </patternFill>
    </fill>
    <fill>
      <patternFill patternType="solid">
        <fgColor theme="3" tint="0.79989013336588644"/>
        <bgColor rgb="FFDCE6F2"/>
      </patternFill>
    </fill>
    <fill>
      <patternFill patternType="solid">
        <fgColor theme="4" tint="0.79989013336588644"/>
        <bgColor rgb="FFEBF1DE"/>
      </patternFill>
    </fill>
    <fill>
      <patternFill patternType="solid">
        <fgColor theme="2" tint="-9.9978637043366805E-2"/>
        <bgColor rgb="FFD7E4BD"/>
      </patternFill>
    </fill>
  </fills>
  <borders count="8">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6">
    <xf numFmtId="0" fontId="0" fillId="0" borderId="0" xfId="0"/>
    <xf numFmtId="0" fontId="3" fillId="0" borderId="1" xfId="0" applyFont="1" applyBorder="1" applyAlignment="1">
      <alignment horizontal="center"/>
    </xf>
    <xf numFmtId="0" fontId="0" fillId="0" borderId="1" xfId="0" applyBorder="1"/>
    <xf numFmtId="0" fontId="2" fillId="3" borderId="2" xfId="0" applyFont="1" applyFill="1" applyBorder="1" applyAlignment="1">
      <alignment horizontal="center"/>
    </xf>
    <xf numFmtId="0" fontId="2" fillId="3" borderId="2" xfId="0" applyFont="1" applyFill="1" applyBorder="1"/>
    <xf numFmtId="0" fontId="0" fillId="3" borderId="0" xfId="0" applyFill="1"/>
    <xf numFmtId="0" fontId="5" fillId="3" borderId="0" xfId="0" applyFont="1" applyFill="1" applyAlignment="1">
      <alignment vertical="center" wrapText="1"/>
    </xf>
    <xf numFmtId="0" fontId="3" fillId="3" borderId="0" xfId="0" applyFont="1" applyFill="1"/>
    <xf numFmtId="0" fontId="3" fillId="0" borderId="0" xfId="0" applyFont="1"/>
    <xf numFmtId="0" fontId="3" fillId="2" borderId="0" xfId="0" applyFont="1" applyFill="1" applyAlignment="1">
      <alignment horizontal="center"/>
    </xf>
    <xf numFmtId="0" fontId="3" fillId="3" borderId="0" xfId="0" applyFont="1" applyFill="1" applyAlignment="1">
      <alignment horizontal="right" vertical="center"/>
    </xf>
    <xf numFmtId="0" fontId="3" fillId="3" borderId="0" xfId="0" applyFont="1" applyFill="1" applyAlignment="1">
      <alignment horizontal="left" vertical="center"/>
    </xf>
    <xf numFmtId="0" fontId="3" fillId="0" borderId="1" xfId="0" applyFont="1" applyBorder="1" applyAlignment="1">
      <alignment horizontal="center" vertical="center"/>
    </xf>
    <xf numFmtId="0" fontId="3" fillId="4" borderId="3" xfId="0" applyFont="1" applyFill="1" applyBorder="1" applyAlignment="1">
      <alignment horizontal="center"/>
    </xf>
    <xf numFmtId="0" fontId="3" fillId="4" borderId="0" xfId="0" applyFont="1" applyFill="1" applyAlignment="1">
      <alignment horizontal="center"/>
    </xf>
    <xf numFmtId="0" fontId="3" fillId="4" borderId="1" xfId="0" applyFont="1" applyFill="1" applyBorder="1" applyAlignment="1">
      <alignment horizontal="center"/>
    </xf>
    <xf numFmtId="0" fontId="0" fillId="0" borderId="1" xfId="0" applyBorder="1" applyAlignment="1">
      <alignment horizontal="center"/>
    </xf>
    <xf numFmtId="0" fontId="0" fillId="3" borderId="0" xfId="0" applyFill="1" applyAlignment="1">
      <alignment horizontal="center"/>
    </xf>
    <xf numFmtId="0" fontId="3" fillId="0" borderId="0" xfId="0" applyFont="1" applyAlignment="1">
      <alignment horizontal="center"/>
    </xf>
    <xf numFmtId="0" fontId="0" fillId="0" borderId="0" xfId="0" applyAlignment="1">
      <alignment horizontal="center"/>
    </xf>
    <xf numFmtId="0" fontId="0" fillId="0" borderId="0" xfId="0" applyAlignment="1">
      <alignment horizontal="center" vertical="center"/>
    </xf>
    <xf numFmtId="0" fontId="3" fillId="3" borderId="1" xfId="0" applyFont="1" applyFill="1" applyBorder="1"/>
    <xf numFmtId="0" fontId="3" fillId="5" borderId="1" xfId="0" applyFont="1" applyFill="1" applyBorder="1" applyAlignment="1">
      <alignment horizontal="center" vertical="center"/>
    </xf>
    <xf numFmtId="0" fontId="3" fillId="5" borderId="4" xfId="0" applyFont="1" applyFill="1" applyBorder="1" applyAlignment="1">
      <alignment horizontal="center" vertical="center"/>
    </xf>
    <xf numFmtId="0" fontId="3" fillId="5" borderId="0" xfId="0" applyFont="1" applyFill="1" applyAlignment="1">
      <alignment horizontal="center" vertical="center"/>
    </xf>
    <xf numFmtId="0" fontId="0" fillId="3" borderId="1" xfId="0" applyFill="1" applyBorder="1"/>
    <xf numFmtId="0" fontId="0" fillId="6" borderId="3" xfId="0" applyFill="1" applyBorder="1"/>
    <xf numFmtId="0" fontId="0" fillId="6" borderId="3" xfId="0" applyFill="1" applyBorder="1" applyAlignment="1">
      <alignment horizontal="center" vertical="center"/>
    </xf>
    <xf numFmtId="0" fontId="0" fillId="0" borderId="5" xfId="0" applyBorder="1"/>
    <xf numFmtId="0" fontId="0" fillId="0" borderId="1" xfId="0" applyBorder="1" applyAlignment="1">
      <alignment horizontal="center" vertical="center"/>
    </xf>
    <xf numFmtId="0" fontId="3" fillId="7" borderId="1" xfId="0" applyFont="1" applyFill="1" applyBorder="1" applyAlignment="1">
      <alignment horizontal="center" vertical="center"/>
    </xf>
    <xf numFmtId="0" fontId="3" fillId="6" borderId="1"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0" xfId="0" applyFont="1" applyFill="1" applyAlignment="1">
      <alignment horizontal="center" vertical="center"/>
    </xf>
    <xf numFmtId="0" fontId="3" fillId="6" borderId="5" xfId="0" applyFont="1" applyFill="1" applyBorder="1" applyAlignment="1">
      <alignment horizontal="center" vertical="center"/>
    </xf>
    <xf numFmtId="0" fontId="0" fillId="6" borderId="1" xfId="0" applyFill="1" applyBorder="1" applyAlignment="1">
      <alignment horizontal="center" vertical="center"/>
    </xf>
    <xf numFmtId="0" fontId="9" fillId="6" borderId="0" xfId="0" applyFont="1" applyFill="1"/>
    <xf numFmtId="0" fontId="3" fillId="7" borderId="1" xfId="0" applyFont="1" applyFill="1" applyBorder="1"/>
    <xf numFmtId="0" fontId="0" fillId="7" borderId="1" xfId="0" applyFill="1" applyBorder="1"/>
    <xf numFmtId="0" fontId="0" fillId="0" borderId="6" xfId="0" applyBorder="1" applyAlignment="1">
      <alignment horizontal="center"/>
    </xf>
    <xf numFmtId="0" fontId="3" fillId="4" borderId="4" xfId="0" applyFont="1" applyFill="1" applyBorder="1" applyAlignment="1">
      <alignment horizontal="center"/>
    </xf>
    <xf numFmtId="0" fontId="10" fillId="0" borderId="7" xfId="0" applyFont="1" applyBorder="1"/>
    <xf numFmtId="0" fontId="11" fillId="0" borderId="0" xfId="0" applyFont="1"/>
    <xf numFmtId="0" fontId="0" fillId="0" borderId="0" xfId="0" applyAlignment="1">
      <alignment horizontal="left"/>
    </xf>
    <xf numFmtId="0" fontId="2" fillId="2" borderId="0" xfId="0" applyFont="1" applyFill="1" applyAlignment="1">
      <alignment horizontal="center"/>
    </xf>
    <xf numFmtId="0" fontId="4" fillId="2" borderId="0" xfId="0" applyFont="1" applyFill="1" applyAlignment="1">
      <alignment horizontal="center" vertical="center" wrapText="1"/>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3" fillId="3" borderId="1" xfId="0" applyFont="1" applyFill="1" applyBorder="1" applyAlignment="1">
      <alignment horizontal="center"/>
    </xf>
    <xf numFmtId="0" fontId="3" fillId="0" borderId="1" xfId="0" applyFont="1" applyBorder="1" applyAlignment="1">
      <alignment horizontal="center" wrapText="1"/>
    </xf>
    <xf numFmtId="0" fontId="3" fillId="3" borderId="1" xfId="0" applyFont="1" applyFill="1" applyBorder="1" applyAlignment="1">
      <alignment horizontal="center" vertical="center"/>
    </xf>
    <xf numFmtId="0" fontId="3" fillId="7" borderId="1" xfId="0" applyFont="1" applyFill="1" applyBorder="1" applyAlignment="1">
      <alignment horizontal="center"/>
    </xf>
    <xf numFmtId="0" fontId="5" fillId="6" borderId="0" xfId="0" applyFont="1" applyFill="1" applyAlignment="1">
      <alignment horizontal="center" vertical="center" wrapText="1"/>
    </xf>
    <xf numFmtId="0" fontId="1" fillId="0" borderId="7" xfId="0" applyFont="1" applyBorder="1" applyAlignment="1">
      <alignment horizontal="center"/>
    </xf>
    <xf numFmtId="0" fontId="1" fillId="0" borderId="3" xfId="0" applyFont="1" applyBorder="1" applyAlignment="1">
      <alignment horizontal="center"/>
    </xf>
    <xf numFmtId="0" fontId="1" fillId="0" borderId="1" xfId="0" applyFont="1" applyBorder="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DD9C3"/>
      <rgbColor rgb="FF808080"/>
      <rgbColor rgb="FF9999FF"/>
      <rgbColor rgb="FF993366"/>
      <rgbColor rgb="FFEBF1DE"/>
      <rgbColor rgb="FFDCE6F2"/>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CCFFFF"/>
      <rgbColor rgb="FFD7E4BD"/>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0212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7</xdr:col>
      <xdr:colOff>181080</xdr:colOff>
      <xdr:row>1</xdr:row>
      <xdr:rowOff>38160</xdr:rowOff>
    </xdr:from>
    <xdr:to>
      <xdr:col>14</xdr:col>
      <xdr:colOff>542520</xdr:colOff>
      <xdr:row>12</xdr:row>
      <xdr:rowOff>18720</xdr:rowOff>
    </xdr:to>
    <xdr:sp macro="" textlink="">
      <xdr:nvSpPr>
        <xdr:cNvPr id="2" name="1 CuadroTexto">
          <a:extLst>
            <a:ext uri="{FF2B5EF4-FFF2-40B4-BE49-F238E27FC236}">
              <a16:creationId xmlns:a16="http://schemas.microsoft.com/office/drawing/2014/main" id="{00000000-0008-0000-0100-000002000000}"/>
            </a:ext>
          </a:extLst>
        </xdr:cNvPr>
        <xdr:cNvSpPr/>
      </xdr:nvSpPr>
      <xdr:spPr>
        <a:xfrm>
          <a:off x="10235520" y="219240"/>
          <a:ext cx="4855320" cy="2180880"/>
        </a:xfrm>
        <a:prstGeom prst="rect">
          <a:avLst/>
        </a:prstGeom>
        <a:solidFill>
          <a:srgbClr val="FFFFFF"/>
        </a:solidFill>
        <a:ln w="9525">
          <a:solidFill>
            <a:srgbClr val="FFFFFF">
              <a:shade val="50000"/>
            </a:srgbClr>
          </a:solidFill>
          <a:round/>
        </a:ln>
      </xdr:spPr>
      <xdr:style>
        <a:lnRef idx="0">
          <a:scrgbClr r="0" g="0" b="0"/>
        </a:lnRef>
        <a:fillRef idx="0">
          <a:scrgbClr r="0" g="0" b="0"/>
        </a:fillRef>
        <a:effectRef idx="0">
          <a:scrgbClr r="0" g="0" b="0"/>
        </a:effectRef>
        <a:fontRef idx="minor"/>
      </xdr:style>
      <xdr:txBody>
        <a:bodyPr vertOverflow="clip" horzOverflow="clip" lIns="90000" tIns="45000" rIns="90000" bIns="45000" anchor="t">
          <a:noAutofit/>
        </a:bodyPr>
        <a:lstStyle/>
        <a:p>
          <a:pPr>
            <a:lnSpc>
              <a:spcPct val="100000"/>
            </a:lnSpc>
          </a:pPr>
          <a:r>
            <a:rPr lang="es-ES" sz="1100" b="0" u="none" strike="noStrike">
              <a:solidFill>
                <a:schemeClr val="dk1"/>
              </a:solidFill>
              <a:effectLst/>
              <a:uFillTx/>
              <a:latin typeface="Calibri"/>
            </a:rPr>
            <a:t>El UUCP son los puntos de casos de uso sin ajustar, esto nos puede servir para tener una idea un poco más precisa de la dificultad de los casos de uso e interfaces, tomando en cuenta los pesos de los actores (UAW) y los pesos de los casos de uso (UUCW).</a:t>
          </a:r>
          <a:endParaRPr lang="en-US" sz="1100" b="0" u="none" strike="noStrike">
            <a:effectLst/>
            <a:uFillTx/>
            <a:latin typeface="Times New Roman"/>
          </a:endParaRPr>
        </a:p>
        <a:p>
          <a:pPr>
            <a:lnSpc>
              <a:spcPct val="100000"/>
            </a:lnSpc>
          </a:pPr>
          <a:r>
            <a:rPr lang="es-ES" sz="1100" b="1" u="none" strike="noStrike">
              <a:solidFill>
                <a:schemeClr val="dk1"/>
              </a:solidFill>
              <a:effectLst/>
              <a:uFillTx/>
              <a:latin typeface="Calibri"/>
            </a:rPr>
            <a:t>UUCP = UAW + UUCW</a:t>
          </a:r>
          <a:endParaRPr lang="en-US" sz="1100" b="0" u="none" strike="noStrike">
            <a:effectLst/>
            <a:uFillTx/>
            <a:latin typeface="Times New Roman"/>
          </a:endParaRPr>
        </a:p>
        <a:p>
          <a:pPr>
            <a:lnSpc>
              <a:spcPct val="100000"/>
            </a:lnSpc>
          </a:pPr>
          <a:r>
            <a:rPr lang="es-ES" sz="1100" b="0" u="none" strike="noStrike">
              <a:solidFill>
                <a:schemeClr val="dk1"/>
              </a:solidFill>
              <a:effectLst/>
              <a:uFillTx/>
              <a:latin typeface="Calibri"/>
            </a:rPr>
            <a:t>Estas siglas significan:</a:t>
          </a:r>
          <a:endParaRPr lang="en-US" sz="1100" b="0" u="none" strike="noStrike">
            <a:effectLst/>
            <a:uFillTx/>
            <a:latin typeface="Times New Roman"/>
          </a:endParaRPr>
        </a:p>
        <a:p>
          <a:pPr>
            <a:lnSpc>
              <a:spcPct val="100000"/>
            </a:lnSpc>
          </a:pPr>
          <a:r>
            <a:rPr lang="es-ES" sz="1100" b="0" u="none" strike="noStrike">
              <a:solidFill>
                <a:schemeClr val="dk1"/>
              </a:solidFill>
              <a:effectLst/>
              <a:uFillTx/>
              <a:latin typeface="Calibri"/>
            </a:rPr>
            <a:t>UUCP: Puntos de casos de uso sin ajustar.</a:t>
          </a:r>
          <a:endParaRPr lang="en-US" sz="1100" b="0" u="none" strike="noStrike">
            <a:effectLst/>
            <a:uFillTx/>
            <a:latin typeface="Times New Roman"/>
          </a:endParaRPr>
        </a:p>
        <a:p>
          <a:pPr>
            <a:lnSpc>
              <a:spcPct val="100000"/>
            </a:lnSpc>
          </a:pPr>
          <a:r>
            <a:rPr lang="es-ES" sz="1100" b="0" u="none" strike="noStrike">
              <a:solidFill>
                <a:schemeClr val="dk1"/>
              </a:solidFill>
              <a:effectLst/>
              <a:uFillTx/>
              <a:latin typeface="Calibri"/>
            </a:rPr>
            <a:t>UAW: Factor de peso de los actores sin ajustar.</a:t>
          </a:r>
          <a:endParaRPr lang="en-US" sz="1100" b="0" u="none" strike="noStrike">
            <a:effectLst/>
            <a:uFillTx/>
            <a:latin typeface="Times New Roman"/>
          </a:endParaRPr>
        </a:p>
        <a:p>
          <a:pPr>
            <a:lnSpc>
              <a:spcPct val="100000"/>
            </a:lnSpc>
          </a:pPr>
          <a:r>
            <a:rPr lang="es-ES" sz="1100" b="0" u="none" strike="noStrike">
              <a:solidFill>
                <a:schemeClr val="dk1"/>
              </a:solidFill>
              <a:effectLst/>
              <a:uFillTx/>
              <a:latin typeface="Calibri"/>
            </a:rPr>
            <a:t>UUCW: Factor de peso de los casos de uso sin ajustar.</a:t>
          </a:r>
          <a:endParaRPr lang="en-US" sz="1100" b="0" u="none" strike="noStrike">
            <a:effectLst/>
            <a:uFillTx/>
            <a:latin typeface="Times New Roman"/>
          </a:endParaRPr>
        </a:p>
        <a:p>
          <a:pPr>
            <a:lnSpc>
              <a:spcPct val="100000"/>
            </a:lnSpc>
          </a:pPr>
          <a:r>
            <a:rPr lang="es-ES" sz="1100" b="0" u="none" strike="noStrike">
              <a:solidFill>
                <a:schemeClr val="dk1"/>
              </a:solidFill>
              <a:effectLst/>
              <a:uFillTx/>
              <a:latin typeface="Calibri"/>
            </a:rPr>
            <a:t>Aplicando el análisis de puntos de función a estos casos de uso, se puede obtener una estimación trivial del tamaño y a partir de ella una estimación del esfuerzo</a:t>
          </a:r>
          <a:endParaRPr lang="en-US" sz="1100" b="0" u="none" strike="noStrike">
            <a:effectLst/>
            <a:uFillTx/>
            <a:latin typeface="Times New Roman"/>
          </a:endParaRPr>
        </a:p>
        <a:p>
          <a:pPr>
            <a:lnSpc>
              <a:spcPct val="100000"/>
            </a:lnSpc>
          </a:pPr>
          <a:endParaRPr lang="en-US" sz="11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750960</xdr:colOff>
      <xdr:row>1</xdr:row>
      <xdr:rowOff>179280</xdr:rowOff>
    </xdr:from>
    <xdr:to>
      <xdr:col>10</xdr:col>
      <xdr:colOff>142200</xdr:colOff>
      <xdr:row>10</xdr:row>
      <xdr:rowOff>171000</xdr:rowOff>
    </xdr:to>
    <xdr:sp macro="" textlink="">
      <xdr:nvSpPr>
        <xdr:cNvPr id="2" name="1 CuadroTexto">
          <a:extLst>
            <a:ext uri="{FF2B5EF4-FFF2-40B4-BE49-F238E27FC236}">
              <a16:creationId xmlns:a16="http://schemas.microsoft.com/office/drawing/2014/main" id="{00000000-0008-0000-0300-000002000000}"/>
            </a:ext>
          </a:extLst>
        </xdr:cNvPr>
        <xdr:cNvSpPr/>
      </xdr:nvSpPr>
      <xdr:spPr>
        <a:xfrm>
          <a:off x="3008520" y="1084320"/>
          <a:ext cx="4658400" cy="1689480"/>
        </a:xfrm>
        <a:prstGeom prst="rect">
          <a:avLst/>
        </a:prstGeom>
        <a:solidFill>
          <a:srgbClr val="FFFFFF"/>
        </a:solidFill>
        <a:ln w="9525">
          <a:solidFill>
            <a:srgbClr val="FFFFFF">
              <a:shade val="50000"/>
            </a:srgbClr>
          </a:solidFill>
          <a:round/>
        </a:ln>
      </xdr:spPr>
      <xdr:style>
        <a:lnRef idx="0">
          <a:scrgbClr r="0" g="0" b="0"/>
        </a:lnRef>
        <a:fillRef idx="0">
          <a:scrgbClr r="0" g="0" b="0"/>
        </a:fillRef>
        <a:effectRef idx="0">
          <a:scrgbClr r="0" g="0" b="0"/>
        </a:effectRef>
        <a:fontRef idx="minor"/>
      </xdr:style>
      <xdr:txBody>
        <a:bodyPr vertOverflow="clip" horzOverflow="clip" lIns="90000" tIns="45000" rIns="90000" bIns="45000" anchor="t">
          <a:noAutofit/>
        </a:bodyPr>
        <a:lstStyle/>
        <a:p>
          <a:pPr>
            <a:lnSpc>
              <a:spcPct val="100000"/>
            </a:lnSpc>
          </a:pPr>
          <a:r>
            <a:rPr lang="es-ES" sz="1100" b="0" u="none" strike="noStrike">
              <a:solidFill>
                <a:schemeClr val="dk1"/>
              </a:solidFill>
              <a:effectLst/>
              <a:uFillTx/>
              <a:latin typeface="Calibri"/>
            </a:rPr>
            <a:t>Para esto se utilizan las siglas UCP y se obtiene al multiplicar el UUCP el TCF y el EF quedando la operación de la siguiente forma:</a:t>
          </a:r>
          <a:endParaRPr lang="en-US" sz="1100" b="0" u="none" strike="noStrike">
            <a:effectLst/>
            <a:uFillTx/>
            <a:latin typeface="Times New Roman"/>
          </a:endParaRPr>
        </a:p>
        <a:p>
          <a:pPr>
            <a:lnSpc>
              <a:spcPct val="100000"/>
            </a:lnSpc>
          </a:pPr>
          <a:r>
            <a:rPr lang="es-ES" sz="1100" b="0" u="none" strike="noStrike">
              <a:solidFill>
                <a:schemeClr val="dk1"/>
              </a:solidFill>
              <a:effectLst/>
              <a:uFillTx/>
              <a:latin typeface="Calibri"/>
            </a:rPr>
            <a:t>UCP = UUCP x TCF x EF</a:t>
          </a:r>
          <a:endParaRPr lang="en-US" sz="1100" b="0" u="none" strike="noStrike">
            <a:effectLst/>
            <a:uFillTx/>
            <a:latin typeface="Times New Roman"/>
          </a:endParaRPr>
        </a:p>
        <a:p>
          <a:pPr>
            <a:lnSpc>
              <a:spcPct val="100000"/>
            </a:lnSpc>
          </a:pPr>
          <a:r>
            <a:rPr lang="es-ES" sz="1100" b="0" u="none" strike="noStrike">
              <a:solidFill>
                <a:schemeClr val="dk1"/>
              </a:solidFill>
              <a:effectLst/>
              <a:uFillTx/>
              <a:latin typeface="Calibri"/>
            </a:rPr>
            <a:t>Estas siglas significan:</a:t>
          </a:r>
          <a:endParaRPr lang="en-US" sz="1100" b="0" u="none" strike="noStrike">
            <a:effectLst/>
            <a:uFillTx/>
            <a:latin typeface="Times New Roman"/>
          </a:endParaRPr>
        </a:p>
        <a:p>
          <a:pPr>
            <a:lnSpc>
              <a:spcPct val="100000"/>
            </a:lnSpc>
          </a:pPr>
          <a:r>
            <a:rPr lang="es-ES" sz="1100" b="0" u="none" strike="noStrike">
              <a:solidFill>
                <a:schemeClr val="dk1"/>
              </a:solidFill>
              <a:effectLst/>
              <a:uFillTx/>
              <a:latin typeface="Calibri"/>
            </a:rPr>
            <a:t>UCP: Puntos de casos de uso ajustados.</a:t>
          </a:r>
          <a:endParaRPr lang="en-US" sz="1100" b="0" u="none" strike="noStrike">
            <a:effectLst/>
            <a:uFillTx/>
            <a:latin typeface="Times New Roman"/>
          </a:endParaRPr>
        </a:p>
        <a:p>
          <a:pPr>
            <a:lnSpc>
              <a:spcPct val="100000"/>
            </a:lnSpc>
          </a:pPr>
          <a:r>
            <a:rPr lang="es-ES" sz="1100" b="0" u="none" strike="noStrike">
              <a:solidFill>
                <a:schemeClr val="dk1"/>
              </a:solidFill>
              <a:effectLst/>
              <a:uFillTx/>
              <a:latin typeface="Calibri"/>
            </a:rPr>
            <a:t>UUCP: Puntos de casos de uso sin ajustar.</a:t>
          </a:r>
          <a:endParaRPr lang="en-US" sz="1100" b="0" u="none" strike="noStrike">
            <a:effectLst/>
            <a:uFillTx/>
            <a:latin typeface="Times New Roman"/>
          </a:endParaRPr>
        </a:p>
        <a:p>
          <a:pPr>
            <a:lnSpc>
              <a:spcPct val="100000"/>
            </a:lnSpc>
          </a:pPr>
          <a:r>
            <a:rPr lang="es-ES" sz="1100" b="0" u="none" strike="noStrike">
              <a:solidFill>
                <a:schemeClr val="dk1"/>
              </a:solidFill>
              <a:effectLst/>
              <a:uFillTx/>
              <a:latin typeface="Calibri"/>
            </a:rPr>
            <a:t>TCF: Factores técnicos.</a:t>
          </a:r>
          <a:endParaRPr lang="en-US" sz="1100" b="0" u="none" strike="noStrike">
            <a:effectLst/>
            <a:uFillTx/>
            <a:latin typeface="Times New Roman"/>
          </a:endParaRPr>
        </a:p>
        <a:p>
          <a:pPr>
            <a:lnSpc>
              <a:spcPct val="100000"/>
            </a:lnSpc>
          </a:pPr>
          <a:r>
            <a:rPr lang="es-ES" sz="1100" b="0" u="none" strike="noStrike">
              <a:solidFill>
                <a:schemeClr val="dk1"/>
              </a:solidFill>
              <a:effectLst/>
              <a:uFillTx/>
              <a:latin typeface="Calibri"/>
            </a:rPr>
            <a:t>EF: Factores ambientales.</a:t>
          </a:r>
          <a:endParaRPr lang="en-US" sz="1100" b="0" u="none" strike="noStrike">
            <a:effectLst/>
            <a:uFillTx/>
            <a:latin typeface="Times New Roman"/>
          </a:endParaRPr>
        </a:p>
        <a:p>
          <a:pPr>
            <a:lnSpc>
              <a:spcPct val="100000"/>
            </a:lnSpc>
          </a:pPr>
          <a:endParaRPr lang="en-US" sz="1100" b="0" u="none" strike="noStrike">
            <a:effectLst/>
            <a:uFillTx/>
            <a:latin typeface="Times New Roman"/>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304920</xdr:colOff>
      <xdr:row>0</xdr:row>
      <xdr:rowOff>123840</xdr:rowOff>
    </xdr:from>
    <xdr:to>
      <xdr:col>6</xdr:col>
      <xdr:colOff>447480</xdr:colOff>
      <xdr:row>5</xdr:row>
      <xdr:rowOff>37800</xdr:rowOff>
    </xdr:to>
    <xdr:sp macro="" textlink="">
      <xdr:nvSpPr>
        <xdr:cNvPr id="3" name="1 CuadroTexto">
          <a:extLst>
            <a:ext uri="{FF2B5EF4-FFF2-40B4-BE49-F238E27FC236}">
              <a16:creationId xmlns:a16="http://schemas.microsoft.com/office/drawing/2014/main" id="{00000000-0008-0000-0400-000003000000}"/>
            </a:ext>
          </a:extLst>
        </xdr:cNvPr>
        <xdr:cNvSpPr/>
      </xdr:nvSpPr>
      <xdr:spPr>
        <a:xfrm>
          <a:off x="304920" y="123840"/>
          <a:ext cx="8844120" cy="819000"/>
        </a:xfrm>
        <a:prstGeom prst="rect">
          <a:avLst/>
        </a:prstGeom>
        <a:solidFill>
          <a:srgbClr val="FFFFFF"/>
        </a:solidFill>
        <a:ln w="25400">
          <a:solidFill>
            <a:srgbClr val="C0504D"/>
          </a:solidFill>
          <a:round/>
        </a:ln>
      </xdr:spPr>
      <xdr:style>
        <a:lnRef idx="2">
          <a:schemeClr val="accent2"/>
        </a:lnRef>
        <a:fillRef idx="1">
          <a:schemeClr val="lt1"/>
        </a:fillRef>
        <a:effectRef idx="0">
          <a:schemeClr val="accent2"/>
        </a:effectRef>
        <a:fontRef idx="minor"/>
      </xdr:style>
      <xdr:txBody>
        <a:bodyPr vertOverflow="clip" horzOverflow="clip" lIns="90000" tIns="45000" rIns="90000" bIns="45000" anchor="t">
          <a:noAutofit/>
        </a:bodyPr>
        <a:lstStyle/>
        <a:p>
          <a:pPr>
            <a:lnSpc>
              <a:spcPct val="100000"/>
            </a:lnSpc>
          </a:pPr>
          <a:r>
            <a:rPr lang="es-ES" sz="1100" b="0" u="none" strike="noStrike">
              <a:solidFill>
                <a:schemeClr val="dk1"/>
              </a:solidFill>
              <a:effectLst/>
              <a:uFillTx/>
              <a:latin typeface="Calibri"/>
            </a:rPr>
            <a:t>Al realizar la multiplicación del UCP por las horas- persona, se consigue un esfuerzo estimado, que representa una parte del total del esfuerzo de todo el proyecto, generalmente un 40%. Este 40% se refiere al esfuerzo total para el desarrollo de la funcionalidades especificadas en los Casos de Uso.</a:t>
          </a:r>
          <a:endParaRPr lang="en-US" sz="1100" b="0" u="none" strike="noStrike">
            <a:effectLst/>
            <a:uFillTx/>
            <a:latin typeface="Times New Roman"/>
          </a:endParaRPr>
        </a:p>
      </xdr:txBody>
    </xdr:sp>
    <xdr:clientData/>
  </xdr:twoCellAnchor>
</xdr:wsDr>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
  <sheetViews>
    <sheetView zoomScale="120" zoomScaleNormal="120" workbookViewId="0">
      <selection activeCell="B24" sqref="B24"/>
    </sheetView>
  </sheetViews>
  <sheetFormatPr defaultColWidth="9.140625" defaultRowHeight="14.25"/>
  <cols>
    <col min="1" max="1" width="18.28515625" customWidth="1"/>
    <col min="2" max="2" width="127.28515625" customWidth="1"/>
  </cols>
  <sheetData>
    <row r="1" spans="1:3">
      <c r="A1" s="44" t="s">
        <v>0</v>
      </c>
      <c r="B1" s="44"/>
      <c r="C1" s="44"/>
    </row>
    <row r="2" spans="1:3">
      <c r="A2" s="1" t="s">
        <v>1</v>
      </c>
      <c r="B2" s="1" t="s">
        <v>2</v>
      </c>
      <c r="C2" s="1" t="s">
        <v>3</v>
      </c>
    </row>
    <row r="3" spans="1:3">
      <c r="A3" s="2" t="s">
        <v>4</v>
      </c>
      <c r="B3" s="2" t="s">
        <v>5</v>
      </c>
      <c r="C3" s="2">
        <v>1</v>
      </c>
    </row>
    <row r="4" spans="1:3">
      <c r="A4" s="2" t="s">
        <v>6</v>
      </c>
      <c r="B4" s="2" t="s">
        <v>7</v>
      </c>
      <c r="C4" s="2">
        <v>2</v>
      </c>
    </row>
    <row r="5" spans="1:3">
      <c r="A5" s="2" t="s">
        <v>8</v>
      </c>
      <c r="B5" s="2" t="s">
        <v>9</v>
      </c>
      <c r="C5" s="2">
        <v>3</v>
      </c>
    </row>
    <row r="6" spans="1:3">
      <c r="A6" s="2"/>
      <c r="B6" s="2"/>
      <c r="C6" s="2"/>
    </row>
    <row r="8" spans="1:3" ht="14.25" customHeight="1">
      <c r="A8" s="45" t="s">
        <v>10</v>
      </c>
      <c r="B8" s="45"/>
      <c r="C8" s="45"/>
    </row>
    <row r="9" spans="1:3">
      <c r="A9" s="3"/>
      <c r="B9" s="4" t="s">
        <v>11</v>
      </c>
      <c r="C9" s="4">
        <v>1</v>
      </c>
    </row>
    <row r="10" spans="1:3">
      <c r="A10" s="2" t="s">
        <v>12</v>
      </c>
      <c r="B10" s="2" t="s">
        <v>13</v>
      </c>
      <c r="C10" s="2" t="s">
        <v>3</v>
      </c>
    </row>
    <row r="11" spans="1:3">
      <c r="A11" s="2" t="s">
        <v>4</v>
      </c>
      <c r="B11" s="2" t="s">
        <v>14</v>
      </c>
      <c r="C11" s="2">
        <v>5</v>
      </c>
    </row>
    <row r="12" spans="1:3">
      <c r="A12" s="2" t="s">
        <v>6</v>
      </c>
      <c r="B12" s="2" t="s">
        <v>15</v>
      </c>
      <c r="C12" s="2">
        <v>10</v>
      </c>
    </row>
    <row r="13" spans="1:3">
      <c r="A13" s="2" t="s">
        <v>8</v>
      </c>
      <c r="B13" s="2" t="s">
        <v>16</v>
      </c>
      <c r="C13" s="2">
        <v>15</v>
      </c>
    </row>
    <row r="14" spans="1:3" ht="15.75" customHeight="1">
      <c r="A14" s="5"/>
      <c r="B14" s="6" t="s">
        <v>17</v>
      </c>
      <c r="C14" s="7">
        <v>2</v>
      </c>
    </row>
    <row r="15" spans="1:3">
      <c r="A15" s="2" t="s">
        <v>12</v>
      </c>
      <c r="B15" s="2" t="s">
        <v>13</v>
      </c>
      <c r="C15" s="2" t="s">
        <v>3</v>
      </c>
    </row>
    <row r="16" spans="1:3">
      <c r="A16" s="2" t="s">
        <v>4</v>
      </c>
      <c r="B16" s="2" t="s">
        <v>18</v>
      </c>
      <c r="C16" s="2">
        <v>5</v>
      </c>
    </row>
    <row r="17" spans="1:3">
      <c r="A17" s="2" t="s">
        <v>6</v>
      </c>
      <c r="B17" s="2" t="s">
        <v>19</v>
      </c>
      <c r="C17" s="2">
        <v>10</v>
      </c>
    </row>
    <row r="18" spans="1:3">
      <c r="A18" s="2" t="s">
        <v>8</v>
      </c>
      <c r="B18" s="2" t="s">
        <v>20</v>
      </c>
      <c r="C18" s="2">
        <v>15</v>
      </c>
    </row>
  </sheetData>
  <mergeCells count="2">
    <mergeCell ref="A1:C1"/>
    <mergeCell ref="A8:C8"/>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27"/>
  <sheetViews>
    <sheetView tabSelected="1" zoomScale="120" zoomScaleNormal="120" workbookViewId="0">
      <selection activeCell="B22" sqref="B22"/>
    </sheetView>
  </sheetViews>
  <sheetFormatPr defaultColWidth="9.140625" defaultRowHeight="14.25"/>
  <cols>
    <col min="1" max="1" width="48.85546875" customWidth="1"/>
    <col min="2" max="3" width="17.140625" customWidth="1"/>
    <col min="5" max="5" width="23.7109375" customWidth="1"/>
    <col min="6" max="6" width="17.7109375" customWidth="1"/>
  </cols>
  <sheetData>
    <row r="1" spans="1:7">
      <c r="A1" s="8"/>
    </row>
    <row r="2" spans="1:7">
      <c r="A2" s="9" t="s">
        <v>21</v>
      </c>
    </row>
    <row r="3" spans="1:7">
      <c r="A3" s="10" t="s">
        <v>22</v>
      </c>
      <c r="B3" s="11">
        <f>SUM($G$4,$C$4)</f>
        <v>134</v>
      </c>
    </row>
    <row r="4" spans="1:7" ht="30.75" customHeight="1">
      <c r="A4" s="46" t="s">
        <v>23</v>
      </c>
      <c r="B4" s="46"/>
      <c r="C4" s="12">
        <f>SUM($C$7,$C$10,$C$13)</f>
        <v>120</v>
      </c>
      <c r="E4" s="47" t="s">
        <v>24</v>
      </c>
      <c r="F4" s="47"/>
      <c r="G4" s="12">
        <f>SUM($F$27,$F$29,$F$31)</f>
        <v>14</v>
      </c>
    </row>
    <row r="5" spans="1:7">
      <c r="A5" s="40" t="s">
        <v>25</v>
      </c>
      <c r="B5" s="13" t="s">
        <v>26</v>
      </c>
      <c r="C5" s="14" t="s">
        <v>27</v>
      </c>
      <c r="E5" s="15" t="s">
        <v>28</v>
      </c>
      <c r="F5" s="15" t="s">
        <v>26</v>
      </c>
    </row>
    <row r="6" spans="1:7" ht="15">
      <c r="A6" s="53" t="s">
        <v>29</v>
      </c>
      <c r="B6" s="39">
        <v>5</v>
      </c>
      <c r="C6">
        <f>COUNTIF(B6:B126,5)</f>
        <v>11</v>
      </c>
      <c r="E6" s="16" t="s">
        <v>30</v>
      </c>
      <c r="F6" s="16">
        <v>3</v>
      </c>
    </row>
    <row r="7" spans="1:7" ht="15">
      <c r="A7" s="53" t="s">
        <v>31</v>
      </c>
      <c r="B7" s="39">
        <v>5</v>
      </c>
      <c r="C7" s="17">
        <f>PRODUCT(C6*5)</f>
        <v>55</v>
      </c>
      <c r="E7" s="16" t="s">
        <v>32</v>
      </c>
      <c r="F7" s="16">
        <v>3</v>
      </c>
    </row>
    <row r="8" spans="1:7" ht="15">
      <c r="A8" s="53" t="s">
        <v>33</v>
      </c>
      <c r="B8" s="39">
        <v>5</v>
      </c>
      <c r="C8" s="18" t="s">
        <v>34</v>
      </c>
      <c r="E8" s="16" t="s">
        <v>35</v>
      </c>
      <c r="F8" s="16">
        <v>3</v>
      </c>
    </row>
    <row r="9" spans="1:7" ht="15">
      <c r="A9" s="53" t="s">
        <v>36</v>
      </c>
      <c r="B9" s="39">
        <v>5</v>
      </c>
      <c r="C9" s="19">
        <f>COUNTIF($B$6:$B$126,10)</f>
        <v>5</v>
      </c>
      <c r="E9" s="16" t="s">
        <v>37</v>
      </c>
      <c r="F9" s="16">
        <v>3</v>
      </c>
    </row>
    <row r="10" spans="1:7" ht="15">
      <c r="A10" s="53" t="s">
        <v>38</v>
      </c>
      <c r="B10" s="39">
        <v>5</v>
      </c>
      <c r="C10" s="17">
        <f>PRODUCT($C$9,10)</f>
        <v>50</v>
      </c>
      <c r="E10" s="16" t="s">
        <v>39</v>
      </c>
      <c r="F10" s="16">
        <v>1</v>
      </c>
    </row>
    <row r="11" spans="1:7" ht="15">
      <c r="A11" s="53" t="s">
        <v>40</v>
      </c>
      <c r="B11" s="39">
        <v>5</v>
      </c>
      <c r="C11" s="18" t="s">
        <v>41</v>
      </c>
      <c r="E11" s="16" t="s">
        <v>42</v>
      </c>
      <c r="F11" s="16">
        <v>1</v>
      </c>
    </row>
    <row r="12" spans="1:7" ht="15">
      <c r="A12" s="53" t="s">
        <v>43</v>
      </c>
      <c r="B12" s="39">
        <v>10</v>
      </c>
      <c r="C12" s="19">
        <f>COUNTIF(B6:B126,15)</f>
        <v>1</v>
      </c>
      <c r="E12" s="16"/>
      <c r="F12" s="16"/>
    </row>
    <row r="13" spans="1:7" ht="15">
      <c r="A13" s="53" t="s">
        <v>44</v>
      </c>
      <c r="B13" s="39">
        <v>5</v>
      </c>
      <c r="C13" s="17">
        <f>PRODUCT(C12*15)</f>
        <v>15</v>
      </c>
      <c r="E13" s="16"/>
      <c r="F13" s="16"/>
    </row>
    <row r="14" spans="1:7" ht="15">
      <c r="A14" s="53" t="s">
        <v>45</v>
      </c>
      <c r="B14" s="39">
        <v>15</v>
      </c>
      <c r="E14" s="16"/>
      <c r="F14" s="16"/>
    </row>
    <row r="15" spans="1:7" ht="15">
      <c r="A15" s="53" t="s">
        <v>46</v>
      </c>
      <c r="B15" s="39">
        <v>10</v>
      </c>
      <c r="C15" s="19"/>
      <c r="E15" s="16"/>
      <c r="F15" s="16"/>
    </row>
    <row r="16" spans="1:7" ht="15">
      <c r="A16" s="53" t="s">
        <v>47</v>
      </c>
      <c r="B16" s="39">
        <v>10</v>
      </c>
      <c r="C16" s="19"/>
      <c r="E16" s="16"/>
      <c r="F16" s="16"/>
    </row>
    <row r="17" spans="1:6" ht="15">
      <c r="A17" s="53" t="s">
        <v>48</v>
      </c>
      <c r="B17" s="39">
        <v>10</v>
      </c>
      <c r="C17" s="19"/>
      <c r="E17" s="16"/>
      <c r="F17" s="16"/>
    </row>
    <row r="18" spans="1:6" ht="15">
      <c r="A18" s="53" t="s">
        <v>49</v>
      </c>
      <c r="B18" s="39">
        <v>5</v>
      </c>
      <c r="C18" s="19"/>
      <c r="E18" s="16"/>
      <c r="F18" s="16"/>
    </row>
    <row r="19" spans="1:6" ht="15">
      <c r="A19" s="53" t="s">
        <v>50</v>
      </c>
      <c r="B19" s="39">
        <v>5</v>
      </c>
      <c r="C19" s="19"/>
      <c r="E19" s="16"/>
      <c r="F19" s="16"/>
    </row>
    <row r="20" spans="1:6" ht="15">
      <c r="A20" s="53" t="s">
        <v>51</v>
      </c>
      <c r="B20" s="39">
        <v>10</v>
      </c>
      <c r="C20" s="19"/>
      <c r="E20" s="16"/>
      <c r="F20" s="16"/>
    </row>
    <row r="21" spans="1:6" ht="15">
      <c r="A21" s="53" t="s">
        <v>52</v>
      </c>
      <c r="B21" s="39">
        <v>5</v>
      </c>
      <c r="C21" s="19"/>
      <c r="E21" s="16"/>
      <c r="F21" s="16"/>
    </row>
    <row r="22" spans="1:6" ht="15">
      <c r="A22" s="53" t="s">
        <v>53</v>
      </c>
      <c r="B22" s="39">
        <v>5</v>
      </c>
      <c r="C22" s="19"/>
      <c r="E22" s="16"/>
      <c r="F22" s="16"/>
    </row>
    <row r="23" spans="1:6" ht="15">
      <c r="A23" s="41"/>
      <c r="B23" s="39"/>
      <c r="C23" s="19"/>
      <c r="E23" s="16"/>
      <c r="F23" s="16"/>
    </row>
    <row r="24" spans="1:6" ht="15">
      <c r="A24" s="41"/>
      <c r="B24" s="39"/>
      <c r="C24" s="19"/>
      <c r="E24" s="16"/>
      <c r="F24" s="16"/>
    </row>
    <row r="25" spans="1:6" ht="15">
      <c r="A25" s="41"/>
      <c r="B25" s="39"/>
      <c r="C25" s="19"/>
      <c r="E25" s="16"/>
      <c r="F25" s="16"/>
    </row>
    <row r="26" spans="1:6" ht="15">
      <c r="A26" s="41"/>
      <c r="B26" s="39"/>
      <c r="C26" s="19"/>
      <c r="E26" s="5" t="s">
        <v>54</v>
      </c>
      <c r="F26">
        <f>COUNTIF(F6:F25,1)</f>
        <v>2</v>
      </c>
    </row>
    <row r="27" spans="1:6" ht="15">
      <c r="A27" s="41"/>
      <c r="B27" s="39"/>
      <c r="C27" s="19"/>
      <c r="F27" s="5">
        <f>PRODUCT(F26,1)</f>
        <v>2</v>
      </c>
    </row>
    <row r="28" spans="1:6" ht="15">
      <c r="A28" s="41"/>
      <c r="B28" s="39"/>
      <c r="C28" s="19"/>
      <c r="E28" s="5" t="s">
        <v>55</v>
      </c>
      <c r="F28">
        <f>COUNTIF(F6:F25,2)</f>
        <v>0</v>
      </c>
    </row>
    <row r="29" spans="1:6" ht="15">
      <c r="A29" s="41"/>
      <c r="B29" s="39"/>
      <c r="C29" s="19"/>
      <c r="F29" s="5">
        <f>PRODUCT(F28,2)</f>
        <v>0</v>
      </c>
    </row>
    <row r="30" spans="1:6" ht="15">
      <c r="A30" s="41"/>
      <c r="B30" s="39"/>
      <c r="C30" s="19"/>
      <c r="E30" s="5" t="s">
        <v>56</v>
      </c>
      <c r="F30">
        <f>COUNTIF(F6:F25,3)</f>
        <v>4</v>
      </c>
    </row>
    <row r="31" spans="1:6" ht="15">
      <c r="A31" s="41"/>
      <c r="B31" s="39"/>
      <c r="C31" s="19"/>
      <c r="F31" s="5">
        <f>PRODUCT(F30,3)</f>
        <v>12</v>
      </c>
    </row>
    <row r="32" spans="1:6" ht="15">
      <c r="A32" s="41"/>
      <c r="B32" s="39"/>
      <c r="C32" s="19"/>
    </row>
    <row r="33" spans="1:3" ht="15">
      <c r="A33" s="41"/>
      <c r="B33" s="39"/>
      <c r="C33" s="19"/>
    </row>
    <row r="34" spans="1:3" ht="15">
      <c r="A34" s="41"/>
      <c r="B34" s="39"/>
      <c r="C34" s="19"/>
    </row>
    <row r="35" spans="1:3" ht="15">
      <c r="A35" s="41"/>
      <c r="B35" s="39"/>
      <c r="C35" s="19"/>
    </row>
    <row r="36" spans="1:3" ht="15">
      <c r="A36" s="41"/>
      <c r="B36" s="39"/>
      <c r="C36" s="19"/>
    </row>
    <row r="37" spans="1:3" ht="15">
      <c r="A37" s="41"/>
      <c r="B37" s="39"/>
      <c r="C37" s="19"/>
    </row>
    <row r="38" spans="1:3" ht="15">
      <c r="A38" s="41"/>
      <c r="B38" s="39"/>
      <c r="C38" s="19"/>
    </row>
    <row r="39" spans="1:3" ht="15">
      <c r="A39" s="41"/>
      <c r="B39" s="39"/>
      <c r="C39" s="19"/>
    </row>
    <row r="40" spans="1:3" ht="15">
      <c r="A40" s="41"/>
      <c r="B40" s="39"/>
      <c r="C40" s="19"/>
    </row>
    <row r="41" spans="1:3" ht="15">
      <c r="A41" s="41"/>
      <c r="B41" s="39"/>
      <c r="C41" s="19"/>
    </row>
    <row r="42" spans="1:3" ht="15">
      <c r="A42" s="41"/>
      <c r="B42" s="39"/>
      <c r="C42" s="19"/>
    </row>
    <row r="43" spans="1:3" ht="15">
      <c r="A43" s="41"/>
      <c r="B43" s="39"/>
      <c r="C43" s="19"/>
    </row>
    <row r="44" spans="1:3" ht="15">
      <c r="A44" s="41"/>
      <c r="B44" s="39"/>
      <c r="C44" s="19"/>
    </row>
    <row r="45" spans="1:3" ht="15">
      <c r="A45" s="41"/>
      <c r="B45" s="39"/>
      <c r="C45" s="19"/>
    </row>
    <row r="46" spans="1:3" ht="15">
      <c r="A46" s="41"/>
      <c r="B46" s="39"/>
      <c r="C46" s="19"/>
    </row>
    <row r="47" spans="1:3" ht="15">
      <c r="A47" s="54"/>
      <c r="B47" s="16"/>
      <c r="C47" s="19"/>
    </row>
    <row r="48" spans="1:3" ht="15">
      <c r="A48" s="55"/>
      <c r="B48" s="16"/>
      <c r="C48" s="19"/>
    </row>
    <row r="49" spans="1:3" ht="15">
      <c r="A49" s="55"/>
      <c r="B49" s="16"/>
      <c r="C49" s="19"/>
    </row>
    <row r="50" spans="1:3" ht="15">
      <c r="A50" s="55"/>
      <c r="B50" s="16"/>
      <c r="C50" s="19"/>
    </row>
    <row r="51" spans="1:3" ht="15">
      <c r="A51" s="55"/>
      <c r="B51" s="16"/>
      <c r="C51" s="19"/>
    </row>
    <row r="52" spans="1:3">
      <c r="A52" s="16"/>
      <c r="B52" s="16"/>
      <c r="C52" s="19"/>
    </row>
    <row r="53" spans="1:3">
      <c r="A53" s="16"/>
      <c r="B53" s="16"/>
      <c r="C53" s="19"/>
    </row>
    <row r="54" spans="1:3">
      <c r="A54" s="16"/>
      <c r="B54" s="16"/>
      <c r="C54" s="19"/>
    </row>
    <row r="55" spans="1:3">
      <c r="A55" s="16"/>
      <c r="B55" s="16"/>
      <c r="C55" s="19"/>
    </row>
    <row r="56" spans="1:3">
      <c r="A56" s="16"/>
      <c r="B56" s="16"/>
      <c r="C56" s="19"/>
    </row>
    <row r="57" spans="1:3">
      <c r="A57" s="16"/>
      <c r="B57" s="16"/>
      <c r="C57" s="19"/>
    </row>
    <row r="58" spans="1:3">
      <c r="A58" s="16"/>
      <c r="B58" s="16"/>
      <c r="C58" s="19"/>
    </row>
    <row r="59" spans="1:3">
      <c r="A59" s="16"/>
      <c r="B59" s="16"/>
      <c r="C59" s="19"/>
    </row>
    <row r="60" spans="1:3">
      <c r="A60" s="16"/>
      <c r="B60" s="16"/>
      <c r="C60" s="19"/>
    </row>
    <row r="61" spans="1:3">
      <c r="A61" s="16"/>
      <c r="B61" s="16"/>
      <c r="C61" s="19"/>
    </row>
    <row r="62" spans="1:3">
      <c r="A62" s="16"/>
      <c r="B62" s="16"/>
      <c r="C62" s="19"/>
    </row>
    <row r="63" spans="1:3">
      <c r="A63" s="16"/>
      <c r="B63" s="16"/>
      <c r="C63" s="19"/>
    </row>
    <row r="64" spans="1:3">
      <c r="A64" s="16"/>
      <c r="B64" s="16"/>
      <c r="C64" s="19"/>
    </row>
    <row r="65" spans="1:3">
      <c r="A65" s="16"/>
      <c r="B65" s="16"/>
      <c r="C65" s="19"/>
    </row>
    <row r="66" spans="1:3">
      <c r="A66" s="16"/>
      <c r="B66" s="16"/>
      <c r="C66" s="19"/>
    </row>
    <row r="67" spans="1:3">
      <c r="A67" s="16"/>
      <c r="B67" s="16"/>
      <c r="C67" s="19"/>
    </row>
    <row r="68" spans="1:3">
      <c r="A68" s="16"/>
      <c r="B68" s="16"/>
      <c r="C68" s="19"/>
    </row>
    <row r="69" spans="1:3">
      <c r="A69" s="16"/>
      <c r="B69" s="16"/>
      <c r="C69" s="19"/>
    </row>
    <row r="70" spans="1:3">
      <c r="A70" s="16"/>
      <c r="B70" s="16"/>
      <c r="C70" s="19"/>
    </row>
    <row r="71" spans="1:3">
      <c r="A71" s="16"/>
      <c r="B71" s="16"/>
      <c r="C71" s="19"/>
    </row>
    <row r="72" spans="1:3">
      <c r="A72" s="16"/>
      <c r="B72" s="16"/>
      <c r="C72" s="19"/>
    </row>
    <row r="73" spans="1:3">
      <c r="A73" s="16"/>
      <c r="B73" s="16"/>
      <c r="C73" s="19"/>
    </row>
    <row r="74" spans="1:3">
      <c r="A74" s="16"/>
      <c r="B74" s="16"/>
      <c r="C74" s="19"/>
    </row>
    <row r="75" spans="1:3">
      <c r="A75" s="16"/>
      <c r="B75" s="16"/>
      <c r="C75" s="19"/>
    </row>
    <row r="76" spans="1:3">
      <c r="A76" s="16"/>
      <c r="B76" s="16"/>
      <c r="C76" s="19"/>
    </row>
    <row r="77" spans="1:3">
      <c r="A77" s="16"/>
      <c r="B77" s="16"/>
      <c r="C77" s="19"/>
    </row>
    <row r="78" spans="1:3">
      <c r="A78" s="16"/>
      <c r="B78" s="16"/>
      <c r="C78" s="19"/>
    </row>
    <row r="79" spans="1:3">
      <c r="A79" s="16"/>
      <c r="B79" s="16"/>
      <c r="C79" s="19"/>
    </row>
    <row r="80" spans="1:3">
      <c r="A80" s="16"/>
      <c r="B80" s="16"/>
      <c r="C80" s="19"/>
    </row>
    <row r="81" spans="1:3">
      <c r="A81" s="16"/>
      <c r="B81" s="16"/>
      <c r="C81" s="19"/>
    </row>
    <row r="82" spans="1:3">
      <c r="A82" s="16"/>
      <c r="B82" s="16"/>
      <c r="C82" s="19"/>
    </row>
    <row r="83" spans="1:3">
      <c r="A83" s="16"/>
      <c r="B83" s="16"/>
      <c r="C83" s="19"/>
    </row>
    <row r="84" spans="1:3">
      <c r="A84" s="16"/>
      <c r="B84" s="16"/>
      <c r="C84" s="19"/>
    </row>
    <row r="85" spans="1:3">
      <c r="A85" s="16"/>
      <c r="B85" s="16"/>
      <c r="C85" s="19"/>
    </row>
    <row r="86" spans="1:3">
      <c r="A86" s="16"/>
      <c r="B86" s="16"/>
      <c r="C86" s="19"/>
    </row>
    <row r="87" spans="1:3">
      <c r="A87" s="16"/>
      <c r="B87" s="16"/>
      <c r="C87" s="19"/>
    </row>
    <row r="88" spans="1:3">
      <c r="A88" s="16"/>
      <c r="B88" s="16"/>
      <c r="C88" s="19"/>
    </row>
    <row r="89" spans="1:3">
      <c r="A89" s="16"/>
      <c r="B89" s="16"/>
      <c r="C89" s="19"/>
    </row>
    <row r="90" spans="1:3">
      <c r="A90" s="16"/>
      <c r="B90" s="16"/>
      <c r="C90" s="19"/>
    </row>
    <row r="91" spans="1:3">
      <c r="A91" s="16"/>
      <c r="B91" s="16"/>
      <c r="C91" s="19"/>
    </row>
    <row r="92" spans="1:3">
      <c r="A92" s="16"/>
      <c r="B92" s="16"/>
      <c r="C92" s="19"/>
    </row>
    <row r="93" spans="1:3">
      <c r="A93" s="16"/>
      <c r="B93" s="16"/>
      <c r="C93" s="19"/>
    </row>
    <row r="94" spans="1:3">
      <c r="A94" s="16"/>
      <c r="B94" s="16"/>
      <c r="C94" s="19"/>
    </row>
    <row r="95" spans="1:3">
      <c r="A95" s="16"/>
      <c r="B95" s="16"/>
      <c r="C95" s="19"/>
    </row>
    <row r="96" spans="1:3">
      <c r="A96" s="16"/>
      <c r="B96" s="16"/>
      <c r="C96" s="19"/>
    </row>
    <row r="97" spans="1:3">
      <c r="A97" s="16"/>
      <c r="B97" s="16"/>
      <c r="C97" s="19"/>
    </row>
    <row r="98" spans="1:3">
      <c r="A98" s="16"/>
      <c r="B98" s="16"/>
      <c r="C98" s="19"/>
    </row>
    <row r="99" spans="1:3">
      <c r="A99" s="16"/>
      <c r="B99" s="16"/>
      <c r="C99" s="19"/>
    </row>
    <row r="100" spans="1:3">
      <c r="A100" s="16"/>
      <c r="B100" s="16"/>
      <c r="C100" s="19"/>
    </row>
    <row r="101" spans="1:3">
      <c r="A101" s="16"/>
      <c r="B101" s="16"/>
      <c r="C101" s="19"/>
    </row>
    <row r="102" spans="1:3">
      <c r="A102" s="16"/>
      <c r="B102" s="16"/>
      <c r="C102" s="19"/>
    </row>
    <row r="103" spans="1:3">
      <c r="A103" s="16"/>
      <c r="B103" s="16"/>
      <c r="C103" s="19"/>
    </row>
    <row r="104" spans="1:3">
      <c r="A104" s="16"/>
      <c r="B104" s="16"/>
      <c r="C104" s="19"/>
    </row>
    <row r="105" spans="1:3">
      <c r="A105" s="16"/>
      <c r="B105" s="16"/>
      <c r="C105" s="19"/>
    </row>
    <row r="106" spans="1:3">
      <c r="A106" s="16"/>
      <c r="B106" s="16"/>
      <c r="C106" s="19"/>
    </row>
    <row r="107" spans="1:3">
      <c r="A107" s="16"/>
      <c r="B107" s="16"/>
      <c r="C107" s="19"/>
    </row>
    <row r="108" spans="1:3">
      <c r="A108" s="16"/>
      <c r="B108" s="16"/>
      <c r="C108" s="19"/>
    </row>
    <row r="109" spans="1:3">
      <c r="A109" s="16"/>
      <c r="B109" s="16"/>
      <c r="C109" s="19"/>
    </row>
    <row r="110" spans="1:3">
      <c r="A110" s="16"/>
      <c r="B110" s="16"/>
      <c r="C110" s="19"/>
    </row>
    <row r="111" spans="1:3">
      <c r="A111" s="16"/>
      <c r="B111" s="16"/>
      <c r="C111" s="19"/>
    </row>
    <row r="112" spans="1:3">
      <c r="A112" s="16"/>
      <c r="B112" s="16"/>
      <c r="C112" s="19"/>
    </row>
    <row r="113" spans="1:3">
      <c r="A113" s="16"/>
      <c r="B113" s="16"/>
      <c r="C113" s="19"/>
    </row>
    <row r="114" spans="1:3">
      <c r="A114" s="16"/>
      <c r="B114" s="16"/>
      <c r="C114" s="19"/>
    </row>
    <row r="115" spans="1:3">
      <c r="A115" s="16"/>
      <c r="B115" s="16"/>
      <c r="C115" s="19"/>
    </row>
    <row r="116" spans="1:3">
      <c r="A116" s="16"/>
      <c r="B116" s="16"/>
      <c r="C116" s="19"/>
    </row>
    <row r="117" spans="1:3">
      <c r="A117" s="16"/>
      <c r="B117" s="16"/>
      <c r="C117" s="19"/>
    </row>
    <row r="118" spans="1:3">
      <c r="A118" s="16"/>
      <c r="B118" s="16"/>
      <c r="C118" s="19"/>
    </row>
    <row r="119" spans="1:3">
      <c r="A119" s="16"/>
      <c r="B119" s="16"/>
      <c r="C119" s="19"/>
    </row>
    <row r="120" spans="1:3">
      <c r="A120" s="16"/>
      <c r="B120" s="16"/>
      <c r="C120" s="19"/>
    </row>
    <row r="121" spans="1:3">
      <c r="A121" s="16"/>
      <c r="B121" s="16"/>
      <c r="C121" s="19"/>
    </row>
    <row r="122" spans="1:3">
      <c r="A122" s="16"/>
      <c r="B122" s="16"/>
      <c r="C122" s="19"/>
    </row>
    <row r="123" spans="1:3">
      <c r="A123" s="16"/>
      <c r="B123" s="16"/>
      <c r="C123" s="19"/>
    </row>
    <row r="124" spans="1:3">
      <c r="A124" s="16"/>
      <c r="B124" s="16"/>
      <c r="C124" s="19"/>
    </row>
    <row r="125" spans="1:3">
      <c r="A125" s="16"/>
      <c r="B125" s="16"/>
      <c r="C125" s="19"/>
    </row>
    <row r="126" spans="1:3">
      <c r="A126" s="16"/>
      <c r="B126" s="16"/>
      <c r="C126" s="19"/>
    </row>
    <row r="127" spans="1:3">
      <c r="A127" s="16"/>
      <c r="B127" s="16"/>
      <c r="C127" s="19"/>
    </row>
  </sheetData>
  <mergeCells count="2">
    <mergeCell ref="A4:B4"/>
    <mergeCell ref="E4:F4"/>
  </mergeCells>
  <dataValidations count="1">
    <dataValidation type="list" allowBlank="1" showInputMessage="1" showErrorMessage="1" sqref="B1:C1" xr:uid="{00000000-0002-0000-0100-000000000000}">
      <formula1>$A$2:$A$3</formula1>
      <formula2>0</formula2>
    </dataValidation>
  </dataValidations>
  <pageMargins left="0.7" right="0.7" top="0.75" bottom="0.75" header="0.511811023622047" footer="0.511811023622047"/>
  <pageSetup paperSize="9" orientation="portrait" horizontalDpi="300" verticalDpi="300"/>
  <drawing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100-000001000000}">
          <x14:formula1>
            <xm:f>CriterioBasadoClasesAnalisis!$C$3:$C$5</xm:f>
          </x14:formula1>
          <x14:formula2>
            <xm:f>0</xm:f>
          </x14:formula2>
          <xm:sqref>C22:C27</xm:sqref>
        </x14:dataValidation>
        <x14:dataValidation type="list" showInputMessage="1" showErrorMessage="1" xr:uid="{00000000-0002-0000-0100-000002000000}">
          <x14:formula1>
            <xm:f>CriterioBasadoClasesAnalisis!$C$16:$C$18</xm:f>
          </x14:formula1>
          <x14:formula2>
            <xm:f>0</xm:f>
          </x14:formula2>
          <xm:sqref>B6:B115</xm:sqref>
        </x14:dataValidation>
        <x14:dataValidation type="list" showInputMessage="1" showErrorMessage="1" xr:uid="{00000000-0002-0000-0100-000003000000}">
          <x14:formula1>
            <xm:f>CriterioBasadoClasesAnalisis!$C$3:$C$5</xm:f>
          </x14:formula1>
          <x14:formula2>
            <xm:f>0</xm:f>
          </x14:formula2>
          <xm:sqref>F6:F25</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9"/>
  <sheetViews>
    <sheetView topLeftCell="C1" zoomScale="120" zoomScaleNormal="120" workbookViewId="0">
      <selection activeCell="G23" sqref="G23"/>
    </sheetView>
  </sheetViews>
  <sheetFormatPr defaultColWidth="9.140625" defaultRowHeight="14.25"/>
  <cols>
    <col min="2" max="2" width="57.85546875" customWidth="1"/>
    <col min="4" max="5" width="9.85546875" customWidth="1"/>
    <col min="7" max="7" width="14.85546875" customWidth="1"/>
    <col min="8" max="8" width="15.7109375" customWidth="1"/>
    <col min="9" max="9" width="22.28515625" customWidth="1"/>
    <col min="10" max="10" width="8.28515625" style="20" customWidth="1"/>
  </cols>
  <sheetData>
    <row r="1" spans="1:10" ht="14.25" customHeight="1">
      <c r="A1" s="48" t="s">
        <v>57</v>
      </c>
      <c r="B1" s="48"/>
      <c r="C1" s="48"/>
      <c r="D1" s="21">
        <f>0.6+(0.01*SUM(E3:E15))</f>
        <v>0.96499999999999997</v>
      </c>
      <c r="I1" s="49" t="s">
        <v>58</v>
      </c>
      <c r="J1" s="49"/>
    </row>
    <row r="2" spans="1:10">
      <c r="A2" s="22" t="s">
        <v>59</v>
      </c>
      <c r="B2" s="22" t="s">
        <v>13</v>
      </c>
      <c r="C2" s="22" t="s">
        <v>60</v>
      </c>
      <c r="D2" s="23" t="s">
        <v>61</v>
      </c>
      <c r="E2" s="22" t="s">
        <v>62</v>
      </c>
      <c r="F2" s="24"/>
      <c r="I2" s="49"/>
      <c r="J2" s="49"/>
    </row>
    <row r="3" spans="1:10">
      <c r="A3" s="2" t="s">
        <v>63</v>
      </c>
      <c r="B3" s="2" t="s">
        <v>64</v>
      </c>
      <c r="C3" s="25">
        <v>2</v>
      </c>
      <c r="D3" s="2">
        <v>2</v>
      </c>
      <c r="E3" s="2">
        <f>C3*D3</f>
        <v>4</v>
      </c>
      <c r="I3" s="26" t="s">
        <v>13</v>
      </c>
      <c r="J3" s="27" t="s">
        <v>65</v>
      </c>
    </row>
    <row r="4" spans="1:10" ht="29.25" customHeight="1">
      <c r="A4" s="28" t="s">
        <v>66</v>
      </c>
      <c r="B4" s="2" t="s">
        <v>67</v>
      </c>
      <c r="C4" s="25">
        <v>1</v>
      </c>
      <c r="D4" s="2">
        <v>3</v>
      </c>
      <c r="E4" s="2">
        <f>C4*D4</f>
        <v>3</v>
      </c>
      <c r="I4" s="2" t="s">
        <v>68</v>
      </c>
      <c r="J4" s="29" t="s">
        <v>69</v>
      </c>
    </row>
    <row r="5" spans="1:10">
      <c r="A5" s="2" t="s">
        <v>70</v>
      </c>
      <c r="B5" s="2" t="s">
        <v>71</v>
      </c>
      <c r="C5" s="25">
        <v>1</v>
      </c>
      <c r="D5" s="2">
        <v>4</v>
      </c>
      <c r="E5" s="2">
        <f>C5*D5</f>
        <v>4</v>
      </c>
      <c r="I5" s="2" t="s">
        <v>6</v>
      </c>
      <c r="J5" s="29" t="s">
        <v>72</v>
      </c>
    </row>
    <row r="6" spans="1:10">
      <c r="A6" s="2" t="s">
        <v>73</v>
      </c>
      <c r="B6" s="2" t="s">
        <v>74</v>
      </c>
      <c r="C6" s="25">
        <v>1</v>
      </c>
      <c r="D6" s="2">
        <v>4</v>
      </c>
      <c r="E6" s="2">
        <f>C6*D6</f>
        <v>4</v>
      </c>
      <c r="I6" s="2" t="s">
        <v>75</v>
      </c>
      <c r="J6" s="29">
        <v>5</v>
      </c>
    </row>
    <row r="7" spans="1:10">
      <c r="A7" s="2" t="s">
        <v>76</v>
      </c>
      <c r="B7" s="2" t="s">
        <v>77</v>
      </c>
      <c r="C7" s="25">
        <v>1</v>
      </c>
      <c r="D7" s="2">
        <v>2</v>
      </c>
      <c r="E7" s="2">
        <f>C7*D7</f>
        <v>2</v>
      </c>
    </row>
    <row r="8" spans="1:10">
      <c r="A8" s="2" t="s">
        <v>78</v>
      </c>
      <c r="B8" s="2" t="s">
        <v>79</v>
      </c>
      <c r="C8" s="25">
        <v>0.5</v>
      </c>
      <c r="D8" s="2">
        <v>3</v>
      </c>
      <c r="E8" s="2">
        <f>C8*D8</f>
        <v>1.5</v>
      </c>
    </row>
    <row r="9" spans="1:10">
      <c r="A9" s="2" t="s">
        <v>80</v>
      </c>
      <c r="B9" s="2" t="s">
        <v>81</v>
      </c>
      <c r="C9" s="25">
        <v>0.5</v>
      </c>
      <c r="D9" s="2">
        <v>4</v>
      </c>
      <c r="E9" s="2">
        <f>C9*D9</f>
        <v>2</v>
      </c>
    </row>
    <row r="10" spans="1:10">
      <c r="A10" s="2" t="s">
        <v>82</v>
      </c>
      <c r="B10" s="2" t="s">
        <v>83</v>
      </c>
      <c r="C10" s="25">
        <v>2</v>
      </c>
      <c r="D10" s="2">
        <v>1</v>
      </c>
      <c r="E10" s="2">
        <f>C10*D10</f>
        <v>2</v>
      </c>
    </row>
    <row r="11" spans="1:10">
      <c r="A11" s="2" t="s">
        <v>84</v>
      </c>
      <c r="B11" s="2" t="s">
        <v>85</v>
      </c>
      <c r="C11" s="25">
        <v>1</v>
      </c>
      <c r="D11" s="2">
        <v>3</v>
      </c>
      <c r="E11" s="2">
        <f>C11*D11</f>
        <v>3</v>
      </c>
    </row>
    <row r="12" spans="1:10">
      <c r="A12" s="2" t="s">
        <v>86</v>
      </c>
      <c r="B12" s="2" t="s">
        <v>87</v>
      </c>
      <c r="C12" s="25">
        <v>1</v>
      </c>
      <c r="D12" s="2">
        <v>3</v>
      </c>
      <c r="E12" s="2">
        <f>C12*D12</f>
        <v>3</v>
      </c>
    </row>
    <row r="13" spans="1:10">
      <c r="A13" s="2" t="s">
        <v>88</v>
      </c>
      <c r="B13" s="2" t="s">
        <v>89</v>
      </c>
      <c r="C13" s="25">
        <v>1</v>
      </c>
      <c r="D13" s="2">
        <v>3</v>
      </c>
      <c r="E13" s="2">
        <f>C13*D13</f>
        <v>3</v>
      </c>
    </row>
    <row r="14" spans="1:10">
      <c r="A14" s="2" t="s">
        <v>90</v>
      </c>
      <c r="B14" s="2" t="s">
        <v>91</v>
      </c>
      <c r="C14" s="25">
        <v>1</v>
      </c>
      <c r="D14" s="2">
        <v>4</v>
      </c>
      <c r="E14" s="2">
        <f>C14*D14</f>
        <v>4</v>
      </c>
    </row>
    <row r="15" spans="1:10">
      <c r="A15" s="2" t="s">
        <v>92</v>
      </c>
      <c r="B15" s="2" t="s">
        <v>93</v>
      </c>
      <c r="C15" s="25">
        <v>1</v>
      </c>
      <c r="D15" s="2">
        <v>1</v>
      </c>
      <c r="E15" s="2">
        <f>C15*D15</f>
        <v>1</v>
      </c>
    </row>
    <row r="16" spans="1:10" ht="17.25" customHeight="1">
      <c r="A16" s="50" t="s">
        <v>94</v>
      </c>
      <c r="B16" s="50"/>
      <c r="C16" s="50"/>
      <c r="D16" s="21">
        <f>1.4-(0.03*SUM(E18:E25))</f>
        <v>0.98</v>
      </c>
      <c r="G16" s="50" t="s">
        <v>95</v>
      </c>
      <c r="H16" s="50"/>
      <c r="I16" s="50"/>
      <c r="J16" s="30">
        <f>'PCU-Ajustado'!C3*IF(I20&lt;=2,20,IF(AND(I20&gt;2,I20&lt;=4),28,36))</f>
        <v>2534.4760000000001</v>
      </c>
    </row>
    <row r="17" spans="1:9">
      <c r="A17" s="31" t="s">
        <v>3</v>
      </c>
      <c r="B17" s="31" t="s">
        <v>13</v>
      </c>
      <c r="C17" s="31" t="s">
        <v>60</v>
      </c>
      <c r="D17" s="32" t="s">
        <v>61</v>
      </c>
      <c r="E17" s="31" t="s">
        <v>62</v>
      </c>
      <c r="F17" s="33"/>
      <c r="G17" s="33" t="s">
        <v>3</v>
      </c>
      <c r="H17" s="33" t="s">
        <v>96</v>
      </c>
      <c r="I17" s="33" t="s">
        <v>97</v>
      </c>
    </row>
    <row r="18" spans="1:9">
      <c r="A18" s="2" t="s">
        <v>98</v>
      </c>
      <c r="B18" s="2" t="s">
        <v>99</v>
      </c>
      <c r="C18" s="25">
        <v>1.5</v>
      </c>
      <c r="D18" s="2">
        <v>3</v>
      </c>
      <c r="E18" s="2">
        <f>C18*D18</f>
        <v>4.5</v>
      </c>
      <c r="G18" t="s">
        <v>100</v>
      </c>
      <c r="H18" t="s">
        <v>101</v>
      </c>
      <c r="I18">
        <f>COUNTIF(D18:D23,"&lt;3")</f>
        <v>1</v>
      </c>
    </row>
    <row r="19" spans="1:9">
      <c r="A19" s="2" t="s">
        <v>102</v>
      </c>
      <c r="B19" s="2" t="s">
        <v>103</v>
      </c>
      <c r="C19" s="25">
        <v>0.5</v>
      </c>
      <c r="D19" s="2">
        <v>2</v>
      </c>
      <c r="E19" s="2">
        <f>C19*D19</f>
        <v>1</v>
      </c>
      <c r="G19" t="s">
        <v>104</v>
      </c>
      <c r="H19" t="s">
        <v>105</v>
      </c>
      <c r="I19">
        <f>COUNTIF(D24:D25,"&gt;3")</f>
        <v>1</v>
      </c>
    </row>
    <row r="20" spans="1:9">
      <c r="A20" s="2" t="s">
        <v>106</v>
      </c>
      <c r="B20" s="2" t="s">
        <v>107</v>
      </c>
      <c r="C20" s="25">
        <v>1</v>
      </c>
      <c r="D20" s="2">
        <v>3</v>
      </c>
      <c r="E20" s="2">
        <f>C20*D20</f>
        <v>3</v>
      </c>
      <c r="H20" s="34" t="s">
        <v>97</v>
      </c>
      <c r="I20" s="34">
        <f>SUM(I18:I19)</f>
        <v>2</v>
      </c>
    </row>
    <row r="21" spans="1:9">
      <c r="A21" s="2" t="s">
        <v>108</v>
      </c>
      <c r="B21" s="2" t="s">
        <v>109</v>
      </c>
      <c r="C21" s="25">
        <v>0.5</v>
      </c>
      <c r="D21" s="2">
        <v>3</v>
      </c>
      <c r="E21" s="2">
        <f>C21*D21</f>
        <v>1.5</v>
      </c>
      <c r="G21" s="51" t="s">
        <v>110</v>
      </c>
      <c r="H21" s="51"/>
      <c r="I21" s="51"/>
    </row>
    <row r="22" spans="1:9">
      <c r="A22" s="2" t="s">
        <v>111</v>
      </c>
      <c r="B22" s="2" t="s">
        <v>112</v>
      </c>
      <c r="C22" s="25">
        <v>1</v>
      </c>
      <c r="D22" s="2">
        <v>3</v>
      </c>
      <c r="E22" s="2">
        <f>C22*D22</f>
        <v>3</v>
      </c>
      <c r="G22" s="35" t="s">
        <v>113</v>
      </c>
      <c r="H22" s="35" t="s">
        <v>2</v>
      </c>
    </row>
    <row r="23" spans="1:9">
      <c r="A23" s="2" t="s">
        <v>114</v>
      </c>
      <c r="B23" s="2" t="s">
        <v>115</v>
      </c>
      <c r="C23" s="25">
        <v>2</v>
      </c>
      <c r="D23" s="2">
        <v>4</v>
      </c>
      <c r="E23" s="2">
        <f>C23*D23</f>
        <v>8</v>
      </c>
      <c r="G23" s="29">
        <v>20</v>
      </c>
      <c r="H23" s="29" t="s">
        <v>116</v>
      </c>
    </row>
    <row r="24" spans="1:9">
      <c r="A24" s="2" t="s">
        <v>117</v>
      </c>
      <c r="B24" s="2" t="s">
        <v>118</v>
      </c>
      <c r="C24" s="25">
        <v>-1</v>
      </c>
      <c r="D24" s="2">
        <v>5</v>
      </c>
      <c r="E24" s="2">
        <f>C24*D24</f>
        <v>-5</v>
      </c>
      <c r="G24" s="29">
        <v>28</v>
      </c>
      <c r="H24" s="29" t="s">
        <v>119</v>
      </c>
    </row>
    <row r="25" spans="1:9">
      <c r="A25" s="2" t="s">
        <v>120</v>
      </c>
      <c r="B25" s="2" t="s">
        <v>121</v>
      </c>
      <c r="C25" s="25">
        <v>-1</v>
      </c>
      <c r="D25" s="2">
        <v>2</v>
      </c>
      <c r="E25" s="2">
        <f>C25*D25</f>
        <v>-2</v>
      </c>
      <c r="G25" s="29">
        <v>36</v>
      </c>
      <c r="H25" s="29" t="s">
        <v>122</v>
      </c>
    </row>
    <row r="27" spans="1:9">
      <c r="D27">
        <v>1</v>
      </c>
      <c r="E27" t="s">
        <v>123</v>
      </c>
    </row>
    <row r="28" spans="1:9">
      <c r="D28">
        <v>3</v>
      </c>
      <c r="E28" t="s">
        <v>124</v>
      </c>
    </row>
    <row r="29" spans="1:9">
      <c r="D29">
        <v>5</v>
      </c>
      <c r="E29" t="s">
        <v>125</v>
      </c>
    </row>
  </sheetData>
  <mergeCells count="5">
    <mergeCell ref="A1:C1"/>
    <mergeCell ref="I1:J2"/>
    <mergeCell ref="A16:C16"/>
    <mergeCell ref="G16:I16"/>
    <mergeCell ref="G21:I21"/>
  </mergeCells>
  <dataValidations count="1">
    <dataValidation type="list" showInputMessage="1" showErrorMessage="1" sqref="D3:D15 D18:D25" xr:uid="{00000000-0002-0000-0200-000000000000}">
      <formula1>"0,1,2,3,4,5"</formula1>
      <formula2>0</formula2>
    </dataValidation>
  </dataValidations>
  <pageMargins left="0.7" right="0.7" top="0.75" bottom="0.75"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
  <sheetViews>
    <sheetView zoomScale="120" zoomScaleNormal="120" workbookViewId="0">
      <selection activeCell="C3" sqref="C3"/>
    </sheetView>
  </sheetViews>
  <sheetFormatPr defaultColWidth="10.7109375" defaultRowHeight="14.25"/>
  <sheetData>
    <row r="1" spans="1:6" ht="71.25" customHeight="1">
      <c r="A1" s="52" t="s">
        <v>126</v>
      </c>
      <c r="B1" s="52"/>
      <c r="C1" s="52"/>
      <c r="D1" s="52"/>
      <c r="E1" s="52"/>
      <c r="F1" s="52"/>
    </row>
    <row r="3" spans="1:6" ht="19.7">
      <c r="C3" s="36">
        <f>'PCU-sinAjustar'!B3*Factores!D1*Factores!D16</f>
        <v>126.7238</v>
      </c>
    </row>
  </sheetData>
  <mergeCells count="1">
    <mergeCell ref="A1:F1"/>
  </mergeCells>
  <pageMargins left="0.7" right="0.7" top="0.75" bottom="0.75"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7:I25"/>
  <sheetViews>
    <sheetView zoomScale="120" zoomScaleNormal="120" workbookViewId="0">
      <selection activeCell="D41" sqref="D41"/>
    </sheetView>
  </sheetViews>
  <sheetFormatPr defaultColWidth="10.7109375" defaultRowHeight="14.25"/>
  <cols>
    <col min="2" max="2" width="28" customWidth="1"/>
    <col min="3" max="3" width="12.28515625" customWidth="1"/>
    <col min="4" max="4" width="31.85546875" customWidth="1"/>
    <col min="5" max="5" width="29.85546875" customWidth="1"/>
  </cols>
  <sheetData>
    <row r="7" spans="1:9">
      <c r="A7" s="43" t="s">
        <v>127</v>
      </c>
      <c r="B7" s="43"/>
      <c r="C7" s="43"/>
      <c r="D7" s="43"/>
      <c r="E7" s="43"/>
      <c r="F7" s="43"/>
      <c r="G7" s="43"/>
      <c r="H7" s="43"/>
      <c r="I7" s="43"/>
    </row>
    <row r="9" spans="1:9">
      <c r="B9" s="37" t="s">
        <v>128</v>
      </c>
      <c r="C9" s="37" t="s">
        <v>129</v>
      </c>
      <c r="D9" s="37" t="s">
        <v>130</v>
      </c>
      <c r="E9" s="37" t="s">
        <v>131</v>
      </c>
    </row>
    <row r="10" spans="1:9">
      <c r="B10" s="2" t="s">
        <v>132</v>
      </c>
      <c r="C10" s="2">
        <v>15</v>
      </c>
      <c r="D10" s="2">
        <f>($C$10*$D$15)/100</f>
        <v>950.4285000000001</v>
      </c>
      <c r="E10" s="2">
        <f>$D$10/8</f>
        <v>118.80356250000001</v>
      </c>
    </row>
    <row r="11" spans="1:9">
      <c r="B11" s="2" t="s">
        <v>133</v>
      </c>
      <c r="C11" s="2">
        <v>20</v>
      </c>
      <c r="D11" s="2">
        <f>($C$11*$D$15)/100</f>
        <v>1267.2380000000003</v>
      </c>
      <c r="E11" s="2">
        <f>$D$11/8</f>
        <v>158.40475000000004</v>
      </c>
    </row>
    <row r="12" spans="1:9">
      <c r="B12" s="38" t="s">
        <v>134</v>
      </c>
      <c r="C12" s="38">
        <v>40</v>
      </c>
      <c r="D12" s="37">
        <f>Factores!$J$16</f>
        <v>2534.4760000000001</v>
      </c>
      <c r="E12" s="38">
        <f>$D$12/8</f>
        <v>316.80950000000001</v>
      </c>
    </row>
    <row r="13" spans="1:9">
      <c r="B13" s="2" t="s">
        <v>135</v>
      </c>
      <c r="C13" s="2">
        <v>20</v>
      </c>
      <c r="D13" s="2">
        <f>($C$13*$D$15)/$C$15</f>
        <v>1267.2380000000003</v>
      </c>
      <c r="E13" s="2">
        <f>$D$13/8</f>
        <v>158.40475000000004</v>
      </c>
    </row>
    <row r="14" spans="1:9">
      <c r="B14" s="2" t="s">
        <v>136</v>
      </c>
      <c r="C14" s="2">
        <v>5</v>
      </c>
      <c r="D14" s="2">
        <f>($C$14*$D$15)/100</f>
        <v>316.80950000000007</v>
      </c>
      <c r="E14" s="2">
        <f>$D$14/8</f>
        <v>39.601187500000009</v>
      </c>
    </row>
    <row r="15" spans="1:9">
      <c r="B15" s="37" t="s">
        <v>97</v>
      </c>
      <c r="C15" s="37">
        <f>SUM(C10:C14)</f>
        <v>100</v>
      </c>
      <c r="D15" s="37">
        <f>($C$15*$D$12)/$C$12</f>
        <v>6336.1900000000005</v>
      </c>
      <c r="E15" s="37">
        <f>$D$15/8</f>
        <v>792.02375000000006</v>
      </c>
    </row>
    <row r="17" spans="2:6">
      <c r="B17" s="37" t="s">
        <v>137</v>
      </c>
      <c r="E17" s="37" t="s">
        <v>138</v>
      </c>
    </row>
    <row r="18" spans="2:6">
      <c r="B18" s="21" t="s">
        <v>139</v>
      </c>
      <c r="C18" s="21">
        <f>$D$15/8</f>
        <v>792.02375000000006</v>
      </c>
      <c r="E18" s="21" t="s">
        <v>139</v>
      </c>
      <c r="F18" s="21">
        <f>$D$12/8</f>
        <v>316.80950000000001</v>
      </c>
    </row>
    <row r="19" spans="2:6">
      <c r="B19" s="21" t="s">
        <v>140</v>
      </c>
      <c r="C19" s="21">
        <f>$C$18/20</f>
        <v>39.601187500000002</v>
      </c>
      <c r="E19" s="21" t="s">
        <v>140</v>
      </c>
      <c r="F19" s="21">
        <f>$F$18/20</f>
        <v>15.840475000000001</v>
      </c>
    </row>
    <row r="22" spans="2:6" ht="15">
      <c r="B22" s="42" t="s">
        <v>141</v>
      </c>
      <c r="E22" s="42" t="s">
        <v>141</v>
      </c>
    </row>
    <row r="23" spans="2:6" ht="15">
      <c r="B23" s="37" t="s">
        <v>137</v>
      </c>
      <c r="E23" s="37" t="s">
        <v>138</v>
      </c>
    </row>
    <row r="24" spans="2:6" ht="15">
      <c r="B24" s="21" t="s">
        <v>139</v>
      </c>
      <c r="C24" s="21">
        <f>($D$15/8)/4</f>
        <v>198.00593750000002</v>
      </c>
      <c r="E24" s="21" t="s">
        <v>139</v>
      </c>
      <c r="F24" s="21">
        <f>($D$12/8)/4</f>
        <v>79.202375000000004</v>
      </c>
    </row>
    <row r="25" spans="2:6" ht="15">
      <c r="B25" s="21" t="s">
        <v>140</v>
      </c>
      <c r="C25" s="21">
        <f>($C$18/20)/4</f>
        <v>9.9002968750000004</v>
      </c>
      <c r="E25" s="21" t="s">
        <v>140</v>
      </c>
      <c r="F25" s="21">
        <f>($F$18/20)/4</f>
        <v>3.9601187500000004</v>
      </c>
    </row>
  </sheetData>
  <mergeCells count="1">
    <mergeCell ref="A7:I7"/>
  </mergeCells>
  <pageMargins left="0.7" right="0.7" top="0.75" bottom="0.75" header="0.511811023622047" footer="0.511811023622047"/>
  <pageSetup paperSize="9" orientation="portrait" horizontalDpi="300" verticalDpi="30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A7788BB74144C4E82456A165D5E80F7" ma:contentTypeVersion="3" ma:contentTypeDescription="Crear nuevo documento." ma:contentTypeScope="" ma:versionID="7772c62673c76dec0fd7ef0f43887fbf">
  <xsd:schema xmlns:xsd="http://www.w3.org/2001/XMLSchema" xmlns:xs="http://www.w3.org/2001/XMLSchema" xmlns:p="http://schemas.microsoft.com/office/2006/metadata/properties" xmlns:ns2="3d2ce1d5-7ded-494d-8056-a72947510cdc" targetNamespace="http://schemas.microsoft.com/office/2006/metadata/properties" ma:root="true" ma:fieldsID="0be6594385353ac4d007136a77b2394c" ns2:_="">
    <xsd:import namespace="3d2ce1d5-7ded-494d-8056-a72947510cd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2ce1d5-7ded-494d-8056-a72947510c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6944D40-E467-4DD6-A6FD-F67719449E4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2006-09-16T00:00:00Z</dcterms:created>
  <dcterms:modified xsi:type="dcterms:W3CDTF">2026-05-24T23:21:01Z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0x010100EA7788BB74144C4E82456A165D5E80F7</vt:lpwstr>
  </property>
</Properties>
</file>